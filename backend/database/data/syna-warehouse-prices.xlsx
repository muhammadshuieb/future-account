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defaultThemeVersion="124226"/>
  <xr:revisionPtr revIDLastSave="0" documentId="13_ncr:1_{2ABAE6FB-A3C5-4120-B281-0DF229CA6AD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البيان" sheetId="11" r:id="rId1"/>
    <sheet name="مستودع رئيسي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6" l="1"/>
  <c r="K8" i="16" s="1"/>
  <c r="L8" i="16" s="1"/>
  <c r="J9" i="16"/>
  <c r="K9" i="16" s="1"/>
  <c r="L9" i="16" s="1"/>
  <c r="J10" i="16"/>
  <c r="K10" i="16" s="1"/>
  <c r="L10" i="16" s="1"/>
  <c r="J11" i="16"/>
  <c r="K11" i="16" s="1"/>
  <c r="L11" i="16" s="1"/>
  <c r="J12" i="16"/>
  <c r="K12" i="16" s="1"/>
  <c r="L12" i="16" s="1"/>
  <c r="J13" i="16"/>
  <c r="J14" i="16"/>
  <c r="J15" i="16"/>
  <c r="J16" i="16"/>
  <c r="K16" i="16" s="1"/>
  <c r="L16" i="16" s="1"/>
  <c r="J17" i="16"/>
  <c r="J18" i="16"/>
  <c r="J19" i="16"/>
  <c r="J20" i="16"/>
  <c r="J21" i="16"/>
  <c r="J22" i="16"/>
  <c r="K22" i="16" s="1"/>
  <c r="L22" i="16" s="1"/>
  <c r="J23" i="16"/>
  <c r="K23" i="16" s="1"/>
  <c r="L23" i="16" s="1"/>
  <c r="J24" i="16"/>
  <c r="J25" i="16"/>
  <c r="J26" i="16"/>
  <c r="J27" i="16"/>
  <c r="J28" i="16"/>
  <c r="K28" i="16" s="1"/>
  <c r="L28" i="16" s="1"/>
  <c r="J29" i="16"/>
  <c r="K29" i="16" s="1"/>
  <c r="L29" i="16" s="1"/>
  <c r="J30" i="16"/>
  <c r="K30" i="16" s="1"/>
  <c r="L30" i="16" s="1"/>
  <c r="J31" i="16"/>
  <c r="K31" i="16" s="1"/>
  <c r="L31" i="16" s="1"/>
  <c r="J32" i="16"/>
  <c r="K32" i="16" s="1"/>
  <c r="L32" i="16" s="1"/>
  <c r="J33" i="16"/>
  <c r="K33" i="16" s="1"/>
  <c r="L33" i="16" s="1"/>
  <c r="J34" i="16"/>
  <c r="J35" i="16"/>
  <c r="J36" i="16"/>
  <c r="J37" i="16"/>
  <c r="J38" i="16"/>
  <c r="J39" i="16"/>
  <c r="J40" i="16"/>
  <c r="K40" i="16" s="1"/>
  <c r="L40" i="16" s="1"/>
  <c r="J41" i="16"/>
  <c r="K41" i="16" s="1"/>
  <c r="L41" i="16" s="1"/>
  <c r="J42" i="16"/>
  <c r="K42" i="16" s="1"/>
  <c r="L42" i="16" s="1"/>
  <c r="J43" i="16"/>
  <c r="K43" i="16" s="1"/>
  <c r="L43" i="16" s="1"/>
  <c r="J44" i="16"/>
  <c r="K44" i="16" s="1"/>
  <c r="L44" i="16" s="1"/>
  <c r="J45" i="16"/>
  <c r="K45" i="16" s="1"/>
  <c r="L45" i="16" s="1"/>
  <c r="J46" i="16"/>
  <c r="J47" i="16"/>
  <c r="J48" i="16"/>
  <c r="J49" i="16"/>
  <c r="J50" i="16"/>
  <c r="K50" i="16" s="1"/>
  <c r="L50" i="16" s="1"/>
  <c r="J51" i="16"/>
  <c r="K51" i="16" s="1"/>
  <c r="L51" i="16" s="1"/>
  <c r="J52" i="16"/>
  <c r="K52" i="16" s="1"/>
  <c r="L52" i="16" s="1"/>
  <c r="J53" i="16"/>
  <c r="J54" i="16"/>
  <c r="K54" i="16" s="1"/>
  <c r="L54" i="16" s="1"/>
  <c r="J55" i="16"/>
  <c r="K55" i="16" s="1"/>
  <c r="L55" i="16" s="1"/>
  <c r="J56" i="16"/>
  <c r="K56" i="16" s="1"/>
  <c r="L56" i="16" s="1"/>
  <c r="J57" i="16"/>
  <c r="J58" i="16"/>
  <c r="J59" i="16"/>
  <c r="K59" i="16" s="1"/>
  <c r="L59" i="16" s="1"/>
  <c r="J60" i="16"/>
  <c r="K60" i="16" s="1"/>
  <c r="L60" i="16" s="1"/>
  <c r="J61" i="16"/>
  <c r="K61" i="16" s="1"/>
  <c r="L61" i="16" s="1"/>
  <c r="J62" i="16"/>
  <c r="K62" i="16" s="1"/>
  <c r="L62" i="16" s="1"/>
  <c r="J63" i="16"/>
  <c r="K63" i="16" s="1"/>
  <c r="L63" i="16" s="1"/>
  <c r="J64" i="16"/>
  <c r="K64" i="16" s="1"/>
  <c r="L64" i="16" s="1"/>
  <c r="J65" i="16"/>
  <c r="K65" i="16" s="1"/>
  <c r="L65" i="16" s="1"/>
  <c r="J66" i="16"/>
  <c r="J67" i="16"/>
  <c r="J68" i="16"/>
  <c r="J69" i="16"/>
  <c r="J70" i="16"/>
  <c r="J71" i="16"/>
  <c r="K71" i="16" s="1"/>
  <c r="L71" i="16" s="1"/>
  <c r="J72" i="16"/>
  <c r="K72" i="16" s="1"/>
  <c r="L72" i="16" s="1"/>
  <c r="J73" i="16"/>
  <c r="K73" i="16" s="1"/>
  <c r="L73" i="16" s="1"/>
  <c r="J74" i="16"/>
  <c r="K74" i="16" s="1"/>
  <c r="L74" i="16" s="1"/>
  <c r="J75" i="16"/>
  <c r="K75" i="16" s="1"/>
  <c r="L75" i="16" s="1"/>
  <c r="J76" i="16"/>
  <c r="K76" i="16" s="1"/>
  <c r="L76" i="16" s="1"/>
  <c r="J77" i="16"/>
  <c r="K77" i="16" s="1"/>
  <c r="L77" i="16" s="1"/>
  <c r="J78" i="16"/>
  <c r="K78" i="16" s="1"/>
  <c r="L78" i="16" s="1"/>
  <c r="J79" i="16"/>
  <c r="K79" i="16" s="1"/>
  <c r="L79" i="16" s="1"/>
  <c r="J80" i="16"/>
  <c r="K80" i="16" s="1"/>
  <c r="L80" i="16" s="1"/>
  <c r="J81" i="16"/>
  <c r="K81" i="16" s="1"/>
  <c r="L81" i="16" s="1"/>
  <c r="J82" i="16"/>
  <c r="K82" i="16" s="1"/>
  <c r="L82" i="16" s="1"/>
  <c r="J83" i="16"/>
  <c r="K83" i="16" s="1"/>
  <c r="L83" i="16" s="1"/>
  <c r="J84" i="16"/>
  <c r="K84" i="16" s="1"/>
  <c r="L84" i="16" s="1"/>
  <c r="J85" i="16"/>
  <c r="J86" i="16"/>
  <c r="K86" i="16" s="1"/>
  <c r="L86" i="16" s="1"/>
  <c r="J87" i="16"/>
  <c r="K87" i="16" s="1"/>
  <c r="L87" i="16" s="1"/>
  <c r="J88" i="16"/>
  <c r="K88" i="16" s="1"/>
  <c r="L88" i="16" s="1"/>
  <c r="J89" i="16"/>
  <c r="K89" i="16" s="1"/>
  <c r="L89" i="16" s="1"/>
  <c r="J90" i="16"/>
  <c r="J91" i="16"/>
  <c r="J92" i="16"/>
  <c r="K92" i="16" s="1"/>
  <c r="L92" i="16" s="1"/>
  <c r="J93" i="16"/>
  <c r="K93" i="16" s="1"/>
  <c r="L93" i="16" s="1"/>
  <c r="J94" i="16"/>
  <c r="J95" i="16"/>
  <c r="K95" i="16" s="1"/>
  <c r="L95" i="16" s="1"/>
  <c r="J96" i="16"/>
  <c r="K96" i="16" s="1"/>
  <c r="L96" i="16" s="1"/>
  <c r="J97" i="16"/>
  <c r="K97" i="16" s="1"/>
  <c r="L97" i="16" s="1"/>
  <c r="J98" i="16"/>
  <c r="J99" i="16"/>
  <c r="J100" i="16"/>
  <c r="J101" i="16"/>
  <c r="J102" i="16"/>
  <c r="J103" i="16"/>
  <c r="K103" i="16" s="1"/>
  <c r="L103" i="16" s="1"/>
  <c r="J104" i="16"/>
  <c r="K104" i="16" s="1"/>
  <c r="L104" i="16" s="1"/>
  <c r="J105" i="16"/>
  <c r="K105" i="16" s="1"/>
  <c r="L105" i="16" s="1"/>
  <c r="J106" i="16"/>
  <c r="K106" i="16" s="1"/>
  <c r="L106" i="16" s="1"/>
  <c r="J107" i="16"/>
  <c r="K107" i="16" s="1"/>
  <c r="L107" i="16" s="1"/>
  <c r="J108" i="16"/>
  <c r="K108" i="16" s="1"/>
  <c r="L108" i="16" s="1"/>
  <c r="J109" i="16"/>
  <c r="K109" i="16" s="1"/>
  <c r="L109" i="16" s="1"/>
  <c r="J110" i="16"/>
  <c r="K110" i="16" s="1"/>
  <c r="L110" i="16" s="1"/>
  <c r="J111" i="16"/>
  <c r="K111" i="16" s="1"/>
  <c r="L111" i="16" s="1"/>
  <c r="J112" i="16"/>
  <c r="K112" i="16" s="1"/>
  <c r="L112" i="16" s="1"/>
  <c r="J113" i="16"/>
  <c r="K113" i="16" s="1"/>
  <c r="L113" i="16" s="1"/>
  <c r="J114" i="16"/>
  <c r="K114" i="16" s="1"/>
  <c r="L114" i="16" s="1"/>
  <c r="J115" i="16"/>
  <c r="K115" i="16" s="1"/>
  <c r="L115" i="16" s="1"/>
  <c r="J116" i="16"/>
  <c r="J117" i="16"/>
  <c r="J118" i="16"/>
  <c r="K118" i="16" s="1"/>
  <c r="L118" i="16" s="1"/>
  <c r="J119" i="16"/>
  <c r="K119" i="16" s="1"/>
  <c r="L119" i="16" s="1"/>
  <c r="J120" i="16"/>
  <c r="K120" i="16" s="1"/>
  <c r="L120" i="16" s="1"/>
  <c r="J121" i="16"/>
  <c r="K121" i="16" s="1"/>
  <c r="L121" i="16" s="1"/>
  <c r="J122" i="16"/>
  <c r="J123" i="16"/>
  <c r="K123" i="16" s="1"/>
  <c r="L123" i="16" s="1"/>
  <c r="J124" i="16"/>
  <c r="K124" i="16" s="1"/>
  <c r="L124" i="16" s="1"/>
  <c r="J125" i="16"/>
  <c r="K125" i="16" s="1"/>
  <c r="L125" i="16" s="1"/>
  <c r="J126" i="16"/>
  <c r="J127" i="16"/>
  <c r="K127" i="16" s="1"/>
  <c r="L127" i="16" s="1"/>
  <c r="J128" i="16"/>
  <c r="K128" i="16" s="1"/>
  <c r="L128" i="16" s="1"/>
  <c r="J129" i="16"/>
  <c r="K129" i="16" s="1"/>
  <c r="L129" i="16" s="1"/>
  <c r="J130" i="16"/>
  <c r="J131" i="16"/>
  <c r="J132" i="16"/>
  <c r="J133" i="16"/>
  <c r="J134" i="16"/>
  <c r="J135" i="16"/>
  <c r="K135" i="16" s="1"/>
  <c r="L135" i="16" s="1"/>
  <c r="J136" i="16"/>
  <c r="K136" i="16" s="1"/>
  <c r="L136" i="16" s="1"/>
  <c r="J137" i="16"/>
  <c r="K137" i="16" s="1"/>
  <c r="L137" i="16" s="1"/>
  <c r="J138" i="16"/>
  <c r="K138" i="16" s="1"/>
  <c r="L138" i="16" s="1"/>
  <c r="J139" i="16"/>
  <c r="K139" i="16" s="1"/>
  <c r="L139" i="16" s="1"/>
  <c r="J140" i="16"/>
  <c r="K140" i="16" s="1"/>
  <c r="L140" i="16" s="1"/>
  <c r="J141" i="16"/>
  <c r="K141" i="16" s="1"/>
  <c r="L141" i="16" s="1"/>
  <c r="J142" i="16"/>
  <c r="K142" i="16" s="1"/>
  <c r="L142" i="16" s="1"/>
  <c r="J143" i="16"/>
  <c r="K143" i="16" s="1"/>
  <c r="L143" i="16" s="1"/>
  <c r="J144" i="16"/>
  <c r="K144" i="16" s="1"/>
  <c r="L144" i="16" s="1"/>
  <c r="J145" i="16"/>
  <c r="J146" i="16"/>
  <c r="J147" i="16"/>
  <c r="K147" i="16" s="1"/>
  <c r="L147" i="16" s="1"/>
  <c r="J148" i="16"/>
  <c r="K148" i="16" s="1"/>
  <c r="L148" i="16" s="1"/>
  <c r="J149" i="16"/>
  <c r="K149" i="16" s="1"/>
  <c r="L149" i="16" s="1"/>
  <c r="J150" i="16"/>
  <c r="K150" i="16" s="1"/>
  <c r="L150" i="16" s="1"/>
  <c r="J151" i="16"/>
  <c r="K151" i="16" s="1"/>
  <c r="L151" i="16" s="1"/>
  <c r="J152" i="16"/>
  <c r="K152" i="16" s="1"/>
  <c r="L152" i="16" s="1"/>
  <c r="J153" i="16"/>
  <c r="K153" i="16" s="1"/>
  <c r="L153" i="16" s="1"/>
  <c r="J154" i="16"/>
  <c r="K154" i="16" s="1"/>
  <c r="L154" i="16" s="1"/>
  <c r="J155" i="16"/>
  <c r="K155" i="16" s="1"/>
  <c r="L155" i="16" s="1"/>
  <c r="J156" i="16"/>
  <c r="K156" i="16" s="1"/>
  <c r="L156" i="16" s="1"/>
  <c r="J157" i="16"/>
  <c r="K157" i="16" s="1"/>
  <c r="L157" i="16" s="1"/>
  <c r="J158" i="16"/>
  <c r="J159" i="16"/>
  <c r="K159" i="16" s="1"/>
  <c r="L159" i="16" s="1"/>
  <c r="J160" i="16"/>
  <c r="K160" i="16" s="1"/>
  <c r="L160" i="16" s="1"/>
  <c r="J161" i="16"/>
  <c r="K161" i="16" s="1"/>
  <c r="L161" i="16" s="1"/>
  <c r="J162" i="16"/>
  <c r="J163" i="16"/>
  <c r="J164" i="16"/>
  <c r="J165" i="16"/>
  <c r="J166" i="16"/>
  <c r="J167" i="16"/>
  <c r="J168" i="16"/>
  <c r="K168" i="16" s="1"/>
  <c r="L168" i="16" s="1"/>
  <c r="J169" i="16"/>
  <c r="K169" i="16" s="1"/>
  <c r="L169" i="16" s="1"/>
  <c r="J170" i="16"/>
  <c r="J171" i="16"/>
  <c r="K171" i="16" s="1"/>
  <c r="L171" i="16" s="1"/>
  <c r="J172" i="16"/>
  <c r="K172" i="16" s="1"/>
  <c r="L172" i="16" s="1"/>
  <c r="J173" i="16"/>
  <c r="K173" i="16" s="1"/>
  <c r="L173" i="16" s="1"/>
  <c r="J174" i="16"/>
  <c r="J175" i="16"/>
  <c r="J176" i="16"/>
  <c r="J177" i="16"/>
  <c r="J178" i="16"/>
  <c r="J179" i="16"/>
  <c r="K179" i="16" s="1"/>
  <c r="L179" i="16" s="1"/>
  <c r="J180" i="16"/>
  <c r="J181" i="16"/>
  <c r="J182" i="16"/>
  <c r="J183" i="16"/>
  <c r="K183" i="16" s="1"/>
  <c r="L183" i="16" s="1"/>
  <c r="J184" i="16"/>
  <c r="K184" i="16" s="1"/>
  <c r="L184" i="16" s="1"/>
  <c r="J185" i="16"/>
  <c r="J186" i="16"/>
  <c r="J187" i="16"/>
  <c r="K187" i="16" s="1"/>
  <c r="L187" i="16" s="1"/>
  <c r="J188" i="16"/>
  <c r="K188" i="16" s="1"/>
  <c r="L188" i="16" s="1"/>
  <c r="J189" i="16"/>
  <c r="K189" i="16" s="1"/>
  <c r="L189" i="16" s="1"/>
  <c r="J190" i="16"/>
  <c r="K190" i="16" s="1"/>
  <c r="L190" i="16" s="1"/>
  <c r="J191" i="16"/>
  <c r="K191" i="16" s="1"/>
  <c r="L191" i="16" s="1"/>
  <c r="J192" i="16"/>
  <c r="K192" i="16" s="1"/>
  <c r="L192" i="16" s="1"/>
  <c r="J193" i="16"/>
  <c r="J194" i="16"/>
  <c r="J195" i="16"/>
  <c r="J196" i="16"/>
  <c r="J197" i="16"/>
  <c r="J198" i="16"/>
  <c r="J199" i="16"/>
  <c r="J200" i="16"/>
  <c r="J201" i="16"/>
  <c r="J202" i="16"/>
  <c r="J203" i="16"/>
  <c r="K203" i="16" s="1"/>
  <c r="L203" i="16" s="1"/>
  <c r="J204" i="16"/>
  <c r="K204" i="16" s="1"/>
  <c r="L204" i="16" s="1"/>
  <c r="J205" i="16"/>
  <c r="K205" i="16" s="1"/>
  <c r="L205" i="16" s="1"/>
  <c r="J206" i="16"/>
  <c r="J207" i="16"/>
  <c r="J208" i="16"/>
  <c r="K208" i="16" s="1"/>
  <c r="L208" i="16" s="1"/>
  <c r="J209" i="16"/>
  <c r="J210" i="16"/>
  <c r="K210" i="16" s="1"/>
  <c r="L210" i="16" s="1"/>
  <c r="J211" i="16"/>
  <c r="J212" i="16"/>
  <c r="J213" i="16"/>
  <c r="J214" i="16"/>
  <c r="K214" i="16" s="1"/>
  <c r="L214" i="16" s="1"/>
  <c r="J215" i="16"/>
  <c r="K215" i="16" s="1"/>
  <c r="L215" i="16" s="1"/>
  <c r="J216" i="16"/>
  <c r="K216" i="16" s="1"/>
  <c r="L216" i="16" s="1"/>
  <c r="J217" i="16"/>
  <c r="K217" i="16" s="1"/>
  <c r="L217" i="16" s="1"/>
  <c r="J218" i="16"/>
  <c r="K218" i="16" s="1"/>
  <c r="L218" i="16" s="1"/>
  <c r="J219" i="16"/>
  <c r="K219" i="16" s="1"/>
  <c r="L219" i="16" s="1"/>
  <c r="J220" i="16"/>
  <c r="K220" i="16" s="1"/>
  <c r="L220" i="16" s="1"/>
  <c r="J221" i="16"/>
  <c r="K221" i="16" s="1"/>
  <c r="L221" i="16" s="1"/>
  <c r="J222" i="16"/>
  <c r="K222" i="16" s="1"/>
  <c r="L222" i="16" s="1"/>
  <c r="J223" i="16"/>
  <c r="K223" i="16" s="1"/>
  <c r="L223" i="16" s="1"/>
  <c r="J224" i="16"/>
  <c r="K224" i="16" s="1"/>
  <c r="L224" i="16" s="1"/>
  <c r="J225" i="16"/>
  <c r="K225" i="16" s="1"/>
  <c r="L225" i="16" s="1"/>
  <c r="J226" i="16"/>
  <c r="J227" i="16"/>
  <c r="J228" i="16"/>
  <c r="J229" i="16"/>
  <c r="J230" i="16"/>
  <c r="J231" i="16"/>
  <c r="K231" i="16" s="1"/>
  <c r="L231" i="16" s="1"/>
  <c r="J232" i="16"/>
  <c r="J233" i="16"/>
  <c r="K233" i="16" s="1"/>
  <c r="L233" i="16" s="1"/>
  <c r="J234" i="16"/>
  <c r="K234" i="16" s="1"/>
  <c r="L234" i="16" s="1"/>
  <c r="J235" i="16"/>
  <c r="K235" i="16" s="1"/>
  <c r="L235" i="16" s="1"/>
  <c r="J236" i="16"/>
  <c r="K236" i="16" s="1"/>
  <c r="L236" i="16" s="1"/>
  <c r="J237" i="16"/>
  <c r="K237" i="16" s="1"/>
  <c r="L237" i="16" s="1"/>
  <c r="J238" i="16"/>
  <c r="J239" i="16"/>
  <c r="J240" i="16"/>
  <c r="J241" i="16"/>
  <c r="J242" i="16"/>
  <c r="J243" i="16"/>
  <c r="J244" i="16"/>
  <c r="J245" i="16"/>
  <c r="K245" i="16" s="1"/>
  <c r="L245" i="16" s="1"/>
  <c r="J246" i="16"/>
  <c r="K246" i="16" s="1"/>
  <c r="L246" i="16" s="1"/>
  <c r="J247" i="16"/>
  <c r="J248" i="16"/>
  <c r="J249" i="16"/>
  <c r="J250" i="16"/>
  <c r="J251" i="16"/>
  <c r="J252" i="16"/>
  <c r="K252" i="16" s="1"/>
  <c r="L252" i="16" s="1"/>
  <c r="J253" i="16"/>
  <c r="K253" i="16" s="1"/>
  <c r="L253" i="16" s="1"/>
  <c r="J254" i="16"/>
  <c r="K254" i="16" s="1"/>
  <c r="L254" i="16" s="1"/>
  <c r="J255" i="16"/>
  <c r="K255" i="16" s="1"/>
  <c r="L255" i="16" s="1"/>
  <c r="J256" i="16"/>
  <c r="K256" i="16" s="1"/>
  <c r="L256" i="16" s="1"/>
  <c r="J257" i="16"/>
  <c r="J258" i="16"/>
  <c r="J259" i="16"/>
  <c r="J260" i="16"/>
  <c r="K260" i="16" s="1"/>
  <c r="L260" i="16" s="1"/>
  <c r="J261" i="16"/>
  <c r="J262" i="16"/>
  <c r="K262" i="16" s="1"/>
  <c r="L262" i="16" s="1"/>
  <c r="J263" i="16"/>
  <c r="K263" i="16" s="1"/>
  <c r="L263" i="16" s="1"/>
  <c r="J264" i="16"/>
  <c r="K264" i="16" s="1"/>
  <c r="L264" i="16" s="1"/>
  <c r="J265" i="16"/>
  <c r="K265" i="16" s="1"/>
  <c r="L265" i="16" s="1"/>
  <c r="J266" i="16"/>
  <c r="K266" i="16" s="1"/>
  <c r="L266" i="16" s="1"/>
  <c r="J267" i="16"/>
  <c r="K267" i="16" s="1"/>
  <c r="L267" i="16" s="1"/>
  <c r="J268" i="16"/>
  <c r="K268" i="16" s="1"/>
  <c r="L268" i="16" s="1"/>
  <c r="J269" i="16"/>
  <c r="K269" i="16" s="1"/>
  <c r="L269" i="16" s="1"/>
  <c r="J270" i="16"/>
  <c r="J271" i="16"/>
  <c r="J272" i="16"/>
  <c r="K272" i="16" s="1"/>
  <c r="L272" i="16" s="1"/>
  <c r="J273" i="16"/>
  <c r="J274" i="16"/>
  <c r="J275" i="16"/>
  <c r="J276" i="16"/>
  <c r="J277" i="16"/>
  <c r="K277" i="16" s="1"/>
  <c r="L277" i="16" s="1"/>
  <c r="J278" i="16"/>
  <c r="K278" i="16" s="1"/>
  <c r="L278" i="16" s="1"/>
  <c r="J279" i="16"/>
  <c r="K279" i="16" s="1"/>
  <c r="L279" i="16" s="1"/>
  <c r="J280" i="16"/>
  <c r="K280" i="16" s="1"/>
  <c r="L280" i="16" s="1"/>
  <c r="J281" i="16"/>
  <c r="K281" i="16" s="1"/>
  <c r="L281" i="16" s="1"/>
  <c r="J282" i="16"/>
  <c r="K282" i="16" s="1"/>
  <c r="L282" i="16" s="1"/>
  <c r="J283" i="16"/>
  <c r="K283" i="16" s="1"/>
  <c r="L283" i="16" s="1"/>
  <c r="J284" i="16"/>
  <c r="K284" i="16" s="1"/>
  <c r="L284" i="16" s="1"/>
  <c r="J285" i="16"/>
  <c r="K285" i="16" s="1"/>
  <c r="L285" i="16" s="1"/>
  <c r="J286" i="16"/>
  <c r="K286" i="16" s="1"/>
  <c r="L286" i="16" s="1"/>
  <c r="J287" i="16"/>
  <c r="K287" i="16" s="1"/>
  <c r="L287" i="16" s="1"/>
  <c r="J288" i="16"/>
  <c r="K288" i="16" s="1"/>
  <c r="L288" i="16" s="1"/>
  <c r="J289" i="16"/>
  <c r="J290" i="16"/>
  <c r="J291" i="16"/>
  <c r="J292" i="16"/>
  <c r="J293" i="16"/>
  <c r="J294" i="16"/>
  <c r="J295" i="16"/>
  <c r="K295" i="16" s="1"/>
  <c r="L295" i="16" s="1"/>
  <c r="J296" i="16"/>
  <c r="J297" i="16"/>
  <c r="K297" i="16" s="1"/>
  <c r="L297" i="16" s="1"/>
  <c r="J298" i="16"/>
  <c r="K298" i="16" s="1"/>
  <c r="L298" i="16" s="1"/>
  <c r="J299" i="16"/>
  <c r="K299" i="16" s="1"/>
  <c r="L299" i="16" s="1"/>
  <c r="J300" i="16"/>
  <c r="K300" i="16" s="1"/>
  <c r="L300" i="16" s="1"/>
  <c r="J301" i="16"/>
  <c r="K301" i="16" s="1"/>
  <c r="L301" i="16" s="1"/>
  <c r="J302" i="16"/>
  <c r="K302" i="16" s="1"/>
  <c r="L302" i="16" s="1"/>
  <c r="J303" i="16"/>
  <c r="K303" i="16" s="1"/>
  <c r="L303" i="16" s="1"/>
  <c r="J304" i="16"/>
  <c r="K304" i="16" s="1"/>
  <c r="L304" i="16" s="1"/>
  <c r="J305" i="16"/>
  <c r="K305" i="16" s="1"/>
  <c r="L305" i="16" s="1"/>
  <c r="J306" i="16"/>
  <c r="J307" i="16"/>
  <c r="J308" i="16"/>
  <c r="J309" i="16"/>
  <c r="K309" i="16" s="1"/>
  <c r="L309" i="16" s="1"/>
  <c r="J310" i="16"/>
  <c r="K310" i="16" s="1"/>
  <c r="L310" i="16" s="1"/>
  <c r="J311" i="16"/>
  <c r="K311" i="16" s="1"/>
  <c r="L311" i="16" s="1"/>
  <c r="J312" i="16"/>
  <c r="K312" i="16" s="1"/>
  <c r="L312" i="16" s="1"/>
  <c r="J313" i="16"/>
  <c r="J314" i="16"/>
  <c r="K314" i="16" s="1"/>
  <c r="L314" i="16" s="1"/>
  <c r="J315" i="16"/>
  <c r="K315" i="16" s="1"/>
  <c r="L315" i="16" s="1"/>
  <c r="J316" i="16"/>
  <c r="K316" i="16" s="1"/>
  <c r="L316" i="16" s="1"/>
  <c r="J317" i="16"/>
  <c r="K317" i="16" s="1"/>
  <c r="L317" i="16" s="1"/>
  <c r="J318" i="16"/>
  <c r="K318" i="16" s="1"/>
  <c r="L318" i="16" s="1"/>
  <c r="J319" i="16"/>
  <c r="K319" i="16" s="1"/>
  <c r="L319" i="16" s="1"/>
  <c r="J320" i="16"/>
  <c r="K320" i="16" s="1"/>
  <c r="L320" i="16" s="1"/>
  <c r="J321" i="16"/>
  <c r="K321" i="16" s="1"/>
  <c r="L321" i="16" s="1"/>
  <c r="J322" i="16"/>
  <c r="J323" i="16"/>
  <c r="J324" i="16"/>
  <c r="J325" i="16"/>
  <c r="J326" i="16"/>
  <c r="J327" i="16"/>
  <c r="K327" i="16" s="1"/>
  <c r="L327" i="16" s="1"/>
  <c r="J328" i="16"/>
  <c r="K328" i="16" s="1"/>
  <c r="L328" i="16" s="1"/>
  <c r="J329" i="16"/>
  <c r="K329" i="16" s="1"/>
  <c r="L329" i="16" s="1"/>
  <c r="J330" i="16"/>
  <c r="K330" i="16" s="1"/>
  <c r="L330" i="16" s="1"/>
  <c r="J331" i="16"/>
  <c r="K331" i="16" s="1"/>
  <c r="L331" i="16" s="1"/>
  <c r="J332" i="16"/>
  <c r="K332" i="16" s="1"/>
  <c r="L332" i="16" s="1"/>
  <c r="J333" i="16"/>
  <c r="K333" i="16" s="1"/>
  <c r="L333" i="16" s="1"/>
  <c r="J334" i="16"/>
  <c r="K334" i="16" s="1"/>
  <c r="L334" i="16" s="1"/>
  <c r="J335" i="16"/>
  <c r="K335" i="16" s="1"/>
  <c r="L335" i="16" s="1"/>
  <c r="J336" i="16"/>
  <c r="K336" i="16" s="1"/>
  <c r="L336" i="16" s="1"/>
  <c r="J337" i="16"/>
  <c r="K337" i="16" s="1"/>
  <c r="L337" i="16" s="1"/>
  <c r="J338" i="16"/>
  <c r="J339" i="16"/>
  <c r="J340" i="16"/>
  <c r="J341" i="16"/>
  <c r="K341" i="16" s="1"/>
  <c r="L341" i="16" s="1"/>
  <c r="J342" i="16"/>
  <c r="K342" i="16" s="1"/>
  <c r="L342" i="16" s="1"/>
  <c r="J343" i="16"/>
  <c r="K343" i="16" s="1"/>
  <c r="L343" i="16" s="1"/>
  <c r="J344" i="16"/>
  <c r="K344" i="16" s="1"/>
  <c r="L344" i="16" s="1"/>
  <c r="J345" i="16"/>
  <c r="K345" i="16" s="1"/>
  <c r="L345" i="16" s="1"/>
  <c r="J346" i="16"/>
  <c r="K346" i="16" s="1"/>
  <c r="L346" i="16" s="1"/>
  <c r="J347" i="16"/>
  <c r="K347" i="16" s="1"/>
  <c r="L347" i="16" s="1"/>
  <c r="J348" i="16"/>
  <c r="K348" i="16" s="1"/>
  <c r="L348" i="16" s="1"/>
  <c r="J349" i="16"/>
  <c r="K349" i="16" s="1"/>
  <c r="L349" i="16" s="1"/>
  <c r="J350" i="16"/>
  <c r="K350" i="16" s="1"/>
  <c r="L350" i="16" s="1"/>
  <c r="J351" i="16"/>
  <c r="K351" i="16" s="1"/>
  <c r="L351" i="16" s="1"/>
  <c r="J352" i="16"/>
  <c r="K352" i="16" s="1"/>
  <c r="L352" i="16" s="1"/>
  <c r="J353" i="16"/>
  <c r="K353" i="16" s="1"/>
  <c r="L353" i="16" s="1"/>
  <c r="J354" i="16"/>
  <c r="K354" i="16" s="1"/>
  <c r="L354" i="16" s="1"/>
  <c r="J355" i="16"/>
  <c r="K355" i="16" s="1"/>
  <c r="L355" i="16" s="1"/>
  <c r="J356" i="16"/>
  <c r="K356" i="16" s="1"/>
  <c r="L356" i="16" s="1"/>
  <c r="J357" i="16"/>
  <c r="J358" i="16"/>
  <c r="J359" i="16"/>
  <c r="K359" i="16" s="1"/>
  <c r="L359" i="16" s="1"/>
  <c r="J360" i="16"/>
  <c r="K360" i="16" s="1"/>
  <c r="L360" i="16" s="1"/>
  <c r="J361" i="16"/>
  <c r="K361" i="16" s="1"/>
  <c r="L361" i="16" s="1"/>
  <c r="J362" i="16"/>
  <c r="K362" i="16" s="1"/>
  <c r="L362" i="16" s="1"/>
  <c r="J363" i="16"/>
  <c r="K363" i="16" s="1"/>
  <c r="L363" i="16" s="1"/>
  <c r="J364" i="16"/>
  <c r="K364" i="16" s="1"/>
  <c r="L364" i="16" s="1"/>
  <c r="J365" i="16"/>
  <c r="K365" i="16" s="1"/>
  <c r="L365" i="16" s="1"/>
  <c r="J366" i="16"/>
  <c r="K366" i="16" s="1"/>
  <c r="L366" i="16" s="1"/>
  <c r="J367" i="16"/>
  <c r="K367" i="16" s="1"/>
  <c r="L367" i="16" s="1"/>
  <c r="J368" i="16"/>
  <c r="K368" i="16" s="1"/>
  <c r="L368" i="16" s="1"/>
  <c r="J369" i="16"/>
  <c r="J370" i="16"/>
  <c r="J371" i="16"/>
  <c r="K371" i="16" s="1"/>
  <c r="L371" i="16" s="1"/>
  <c r="J372" i="16"/>
  <c r="J373" i="16"/>
  <c r="K373" i="16" s="1"/>
  <c r="L373" i="16" s="1"/>
  <c r="J374" i="16"/>
  <c r="K374" i="16" s="1"/>
  <c r="L374" i="16" s="1"/>
  <c r="J375" i="16"/>
  <c r="K375" i="16" s="1"/>
  <c r="L375" i="16" s="1"/>
  <c r="J376" i="16"/>
  <c r="K376" i="16" s="1"/>
  <c r="L376" i="16" s="1"/>
  <c r="J377" i="16"/>
  <c r="K377" i="16" s="1"/>
  <c r="L377" i="16" s="1"/>
  <c r="J378" i="16"/>
  <c r="K378" i="16" s="1"/>
  <c r="L378" i="16" s="1"/>
  <c r="J379" i="16"/>
  <c r="K379" i="16" s="1"/>
  <c r="L379" i="16" s="1"/>
  <c r="J380" i="16"/>
  <c r="K380" i="16" s="1"/>
  <c r="L380" i="16" s="1"/>
  <c r="J381" i="16"/>
  <c r="K381" i="16" s="1"/>
  <c r="L381" i="16" s="1"/>
  <c r="J382" i="16"/>
  <c r="K382" i="16" s="1"/>
  <c r="L382" i="16" s="1"/>
  <c r="J383" i="16"/>
  <c r="K383" i="16" s="1"/>
  <c r="L383" i="16" s="1"/>
  <c r="J384" i="16"/>
  <c r="K384" i="16" s="1"/>
  <c r="L384" i="16" s="1"/>
  <c r="J385" i="16"/>
  <c r="K385" i="16" s="1"/>
  <c r="L385" i="16" s="1"/>
  <c r="J386" i="16"/>
  <c r="K386" i="16" s="1"/>
  <c r="L386" i="16" s="1"/>
  <c r="L126" i="16"/>
  <c r="K57" i="16"/>
  <c r="L57" i="16" s="1"/>
  <c r="K58" i="16"/>
  <c r="L58" i="16" s="1"/>
  <c r="K90" i="16"/>
  <c r="L90" i="16" s="1"/>
  <c r="K122" i="16"/>
  <c r="L122" i="16" s="1"/>
  <c r="K182" i="16"/>
  <c r="L182" i="16" s="1"/>
  <c r="K185" i="16"/>
  <c r="L185" i="16" s="1"/>
  <c r="K232" i="16"/>
  <c r="L232" i="16" s="1"/>
  <c r="K170" i="16"/>
  <c r="L170" i="16" s="1"/>
  <c r="K13" i="16"/>
  <c r="L13" i="16" s="1"/>
  <c r="K14" i="16"/>
  <c r="L14" i="16" s="1"/>
  <c r="K15" i="16"/>
  <c r="L15" i="16" s="1"/>
  <c r="K26" i="16"/>
  <c r="L26" i="16" s="1"/>
  <c r="K46" i="16"/>
  <c r="L46" i="16" s="1"/>
  <c r="K47" i="16"/>
  <c r="L47" i="16" s="1"/>
  <c r="K48" i="16"/>
  <c r="L48" i="16" s="1"/>
  <c r="K49" i="16"/>
  <c r="L49" i="16" s="1"/>
  <c r="K94" i="16"/>
  <c r="L94" i="16" s="1"/>
  <c r="K126" i="16"/>
  <c r="K158" i="16"/>
  <c r="L158" i="16" s="1"/>
  <c r="K186" i="16"/>
  <c r="L186" i="16" s="1"/>
  <c r="K201" i="16"/>
  <c r="L201" i="16" s="1"/>
  <c r="K202" i="16"/>
  <c r="L202" i="16" s="1"/>
  <c r="K209" i="16"/>
  <c r="L209" i="16" s="1"/>
  <c r="K211" i="16"/>
  <c r="L211" i="16" s="1"/>
  <c r="K313" i="16"/>
  <c r="L313" i="16" s="1"/>
  <c r="B344" i="16"/>
  <c r="B345" i="16"/>
  <c r="B346" i="16"/>
  <c r="B347" i="16"/>
  <c r="B375" i="16"/>
  <c r="B376" i="16"/>
  <c r="B377" i="16"/>
  <c r="B378" i="16"/>
  <c r="K166" i="16" l="1"/>
  <c r="L166" i="16" s="1"/>
  <c r="K134" i="16"/>
  <c r="L134" i="16" s="1"/>
  <c r="K296" i="16"/>
  <c r="L296" i="16" s="1"/>
  <c r="K294" i="16"/>
  <c r="L294" i="16" s="1"/>
  <c r="K293" i="16"/>
  <c r="L293" i="16" s="1"/>
  <c r="K37" i="16"/>
  <c r="L37" i="16" s="1"/>
  <c r="K36" i="16"/>
  <c r="L36" i="16" s="1"/>
  <c r="K167" i="16"/>
  <c r="L167" i="16" s="1"/>
  <c r="K291" i="16"/>
  <c r="L291" i="16" s="1"/>
  <c r="K259" i="16"/>
  <c r="L259" i="16" s="1"/>
  <c r="K99" i="16"/>
  <c r="L99" i="16" s="1"/>
  <c r="K67" i="16"/>
  <c r="L67" i="16" s="1"/>
  <c r="K35" i="16"/>
  <c r="L35" i="16" s="1"/>
  <c r="K200" i="16"/>
  <c r="L200" i="16" s="1"/>
  <c r="K290" i="16"/>
  <c r="L290" i="16" s="1"/>
  <c r="K258" i="16"/>
  <c r="L258" i="16" s="1"/>
  <c r="K226" i="16"/>
  <c r="L226" i="16" s="1"/>
  <c r="K194" i="16"/>
  <c r="L194" i="16" s="1"/>
  <c r="K98" i="16"/>
  <c r="L98" i="16" s="1"/>
  <c r="K66" i="16"/>
  <c r="L66" i="16" s="1"/>
  <c r="K34" i="16"/>
  <c r="L34" i="16" s="1"/>
  <c r="K199" i="16"/>
  <c r="L199" i="16" s="1"/>
  <c r="K251" i="16"/>
  <c r="L251" i="16" s="1"/>
  <c r="K198" i="16"/>
  <c r="L198" i="16" s="1"/>
  <c r="K146" i="16"/>
  <c r="L146" i="16" s="1"/>
  <c r="K250" i="16"/>
  <c r="L250" i="16" s="1"/>
  <c r="K197" i="16"/>
  <c r="L197" i="16" s="1"/>
  <c r="K145" i="16"/>
  <c r="L145" i="16" s="1"/>
  <c r="K249" i="16"/>
  <c r="L249" i="16" s="1"/>
  <c r="K196" i="16"/>
  <c r="L196" i="16" s="1"/>
  <c r="K248" i="16"/>
  <c r="L248" i="16" s="1"/>
  <c r="K195" i="16"/>
  <c r="L195" i="16" s="1"/>
  <c r="K247" i="16"/>
  <c r="L247" i="16" s="1"/>
  <c r="K39" i="16"/>
  <c r="L39" i="16" s="1"/>
  <c r="K133" i="16"/>
  <c r="L133" i="16" s="1"/>
  <c r="K228" i="16"/>
  <c r="L228" i="16" s="1"/>
  <c r="K68" i="16"/>
  <c r="L68" i="16" s="1"/>
  <c r="K292" i="16"/>
  <c r="L292" i="16" s="1"/>
  <c r="K38" i="16"/>
  <c r="L38" i="16" s="1"/>
  <c r="K91" i="16"/>
  <c r="L91" i="16" s="1"/>
  <c r="K165" i="16"/>
  <c r="L165" i="16" s="1"/>
  <c r="K131" i="16"/>
  <c r="L131" i="16" s="1"/>
  <c r="K25" i="16"/>
  <c r="L25" i="16" s="1"/>
  <c r="K85" i="16"/>
  <c r="L85" i="16" s="1"/>
  <c r="K53" i="16"/>
  <c r="L53" i="16" s="1"/>
  <c r="K21" i="16"/>
  <c r="L21" i="16" s="1"/>
  <c r="K181" i="16"/>
  <c r="L181" i="16" s="1"/>
  <c r="K130" i="16"/>
  <c r="L130" i="16" s="1"/>
  <c r="K24" i="16"/>
  <c r="L24" i="16" s="1"/>
  <c r="K372" i="16"/>
  <c r="L372" i="16" s="1"/>
  <c r="K340" i="16"/>
  <c r="L340" i="16" s="1"/>
  <c r="K308" i="16"/>
  <c r="L308" i="16" s="1"/>
  <c r="K276" i="16"/>
  <c r="L276" i="16" s="1"/>
  <c r="K244" i="16"/>
  <c r="L244" i="16" s="1"/>
  <c r="K20" i="16"/>
  <c r="L20" i="16" s="1"/>
  <c r="K180" i="16"/>
  <c r="L180" i="16" s="1"/>
  <c r="K17" i="16"/>
  <c r="L17" i="16" s="1"/>
  <c r="K339" i="16"/>
  <c r="L339" i="16" s="1"/>
  <c r="K307" i="16"/>
  <c r="L307" i="16" s="1"/>
  <c r="K275" i="16"/>
  <c r="L275" i="16" s="1"/>
  <c r="K243" i="16"/>
  <c r="L243" i="16" s="1"/>
  <c r="K19" i="16"/>
  <c r="L19" i="16" s="1"/>
  <c r="K358" i="16"/>
  <c r="L358" i="16" s="1"/>
  <c r="K102" i="16"/>
  <c r="L102" i="16" s="1"/>
  <c r="K325" i="16"/>
  <c r="L325" i="16" s="1"/>
  <c r="K229" i="16"/>
  <c r="L229" i="16" s="1"/>
  <c r="K69" i="16"/>
  <c r="L69" i="16" s="1"/>
  <c r="K27" i="16"/>
  <c r="L27" i="16" s="1"/>
  <c r="K132" i="16"/>
  <c r="L132" i="16" s="1"/>
  <c r="K227" i="16"/>
  <c r="L227" i="16" s="1"/>
  <c r="K338" i="16"/>
  <c r="L338" i="16" s="1"/>
  <c r="K306" i="16"/>
  <c r="L306" i="16" s="1"/>
  <c r="K274" i="16"/>
  <c r="L274" i="16" s="1"/>
  <c r="K242" i="16"/>
  <c r="L242" i="16" s="1"/>
  <c r="K18" i="16"/>
  <c r="L18" i="16" s="1"/>
  <c r="K178" i="16"/>
  <c r="L178" i="16" s="1"/>
  <c r="K273" i="16"/>
  <c r="L273" i="16" s="1"/>
  <c r="K241" i="16"/>
  <c r="L241" i="16" s="1"/>
  <c r="K177" i="16"/>
  <c r="L177" i="16" s="1"/>
  <c r="K370" i="16"/>
  <c r="L370" i="16" s="1"/>
  <c r="K369" i="16"/>
  <c r="L369" i="16" s="1"/>
  <c r="K164" i="16"/>
  <c r="L164" i="16" s="1"/>
  <c r="K117" i="16"/>
  <c r="L117" i="16" s="1"/>
  <c r="K213" i="16"/>
  <c r="L213" i="16" s="1"/>
  <c r="K116" i="16"/>
  <c r="L116" i="16" s="1"/>
  <c r="K326" i="16"/>
  <c r="L326" i="16" s="1"/>
  <c r="K230" i="16"/>
  <c r="L230" i="16" s="1"/>
  <c r="K70" i="16"/>
  <c r="L70" i="16" s="1"/>
  <c r="K357" i="16"/>
  <c r="L357" i="16" s="1"/>
  <c r="K261" i="16"/>
  <c r="L261" i="16" s="1"/>
  <c r="K101" i="16"/>
  <c r="L101" i="16" s="1"/>
  <c r="K100" i="16"/>
  <c r="L100" i="16" s="1"/>
  <c r="K324" i="16"/>
  <c r="L324" i="16" s="1"/>
  <c r="K323" i="16"/>
  <c r="L323" i="16" s="1"/>
  <c r="K322" i="16"/>
  <c r="L322" i="16" s="1"/>
  <c r="K163" i="16"/>
  <c r="L163" i="16" s="1"/>
  <c r="K162" i="16"/>
  <c r="L162" i="16" s="1"/>
  <c r="K212" i="16"/>
  <c r="L212" i="16" s="1"/>
  <c r="K193" i="16"/>
  <c r="L193" i="16" s="1"/>
  <c r="K289" i="16"/>
  <c r="L289" i="16" s="1"/>
  <c r="K257" i="16"/>
  <c r="L257" i="16" s="1"/>
  <c r="K176" i="16"/>
  <c r="L176" i="16" s="1"/>
  <c r="K207" i="16"/>
  <c r="L207" i="16" s="1"/>
  <c r="K175" i="16"/>
  <c r="L175" i="16" s="1"/>
  <c r="K206" i="16"/>
  <c r="L206" i="16" s="1"/>
  <c r="K174" i="16"/>
  <c r="L174" i="16" s="1"/>
  <c r="K240" i="16"/>
  <c r="L240" i="16" s="1"/>
  <c r="K271" i="16"/>
  <c r="L271" i="16" s="1"/>
  <c r="K239" i="16"/>
  <c r="L239" i="16" s="1"/>
  <c r="K270" i="16"/>
  <c r="L270" i="16" s="1"/>
  <c r="K238" i="16"/>
  <c r="L238" i="16" s="1"/>
  <c r="E330" i="11"/>
  <c r="E331" i="11"/>
  <c r="E329" i="11"/>
  <c r="B379" i="16"/>
  <c r="B380" i="16"/>
  <c r="B381" i="16"/>
  <c r="B382" i="16"/>
  <c r="B383" i="16"/>
  <c r="B384" i="16"/>
  <c r="B385" i="16"/>
  <c r="B386" i="16"/>
  <c r="E358" i="11"/>
  <c r="E38" i="11"/>
  <c r="E3" i="11"/>
  <c r="E48" i="11"/>
  <c r="E30" i="11"/>
  <c r="E31" i="11"/>
  <c r="E44" i="11"/>
  <c r="E49" i="11"/>
  <c r="E89" i="11"/>
  <c r="E29" i="11"/>
  <c r="E56" i="11"/>
  <c r="E4" i="11"/>
  <c r="E84" i="11"/>
  <c r="E5" i="11"/>
  <c r="E81" i="11"/>
  <c r="E46" i="11"/>
  <c r="E343" i="11"/>
  <c r="E83" i="11"/>
  <c r="E85" i="11"/>
  <c r="E86" i="11"/>
  <c r="E87" i="11"/>
  <c r="E82" i="11"/>
  <c r="E32" i="11"/>
  <c r="E6" i="11"/>
  <c r="E39" i="11"/>
  <c r="E88" i="11"/>
  <c r="E90" i="11"/>
  <c r="E33" i="11"/>
  <c r="E40" i="11"/>
  <c r="E41" i="11"/>
  <c r="E35" i="11"/>
  <c r="E36" i="11"/>
  <c r="E42" i="11"/>
  <c r="E43" i="11"/>
  <c r="E37" i="11"/>
  <c r="E91" i="11"/>
  <c r="E7" i="11"/>
  <c r="E8" i="11"/>
  <c r="E9" i="11"/>
  <c r="E92" i="11"/>
  <c r="E93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27" i="11"/>
  <c r="E228" i="11"/>
  <c r="E229" i="11"/>
  <c r="E230" i="11"/>
  <c r="E231" i="11"/>
  <c r="E232" i="11"/>
  <c r="E233" i="11"/>
  <c r="E234" i="11"/>
  <c r="E239" i="11"/>
  <c r="E240" i="11"/>
  <c r="E241" i="11"/>
  <c r="E242" i="11"/>
  <c r="E243" i="11"/>
  <c r="E244" i="11"/>
  <c r="E245" i="11"/>
  <c r="E246" i="11"/>
  <c r="E247" i="11"/>
  <c r="E248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53" i="11"/>
  <c r="E254" i="11"/>
  <c r="E255" i="11"/>
  <c r="E288" i="11"/>
  <c r="E289" i="11"/>
  <c r="E290" i="11"/>
  <c r="E316" i="11"/>
  <c r="E317" i="11"/>
  <c r="E318" i="11"/>
  <c r="E319" i="11"/>
  <c r="E320" i="11"/>
  <c r="E321" i="11"/>
  <c r="E322" i="11"/>
  <c r="E323" i="11"/>
  <c r="E286" i="11"/>
  <c r="E287" i="11"/>
  <c r="E324" i="11"/>
  <c r="E344" i="11"/>
  <c r="E345" i="11"/>
  <c r="E346" i="11"/>
  <c r="E347" i="11"/>
  <c r="E348" i="11"/>
  <c r="E256" i="11"/>
  <c r="E257" i="11"/>
  <c r="E258" i="11"/>
  <c r="E349" i="11"/>
  <c r="E350" i="11"/>
  <c r="E351" i="11"/>
  <c r="E352" i="11"/>
  <c r="E353" i="11"/>
  <c r="E354" i="11"/>
  <c r="E355" i="11"/>
  <c r="E356" i="11"/>
  <c r="E357" i="11"/>
  <c r="E359" i="11"/>
  <c r="E360" i="11"/>
  <c r="E361" i="11"/>
  <c r="E378" i="11"/>
  <c r="E362" i="11"/>
  <c r="E377" i="11"/>
  <c r="E379" i="11"/>
  <c r="E363" i="11"/>
  <c r="E380" i="11"/>
  <c r="E364" i="11"/>
  <c r="E365" i="11"/>
  <c r="E366" i="11"/>
  <c r="E367" i="11"/>
  <c r="E368" i="11"/>
  <c r="E369" i="11"/>
  <c r="E370" i="11"/>
  <c r="E371" i="11"/>
  <c r="E372" i="11"/>
  <c r="E373" i="11"/>
  <c r="E381" i="11"/>
  <c r="E374" i="11"/>
  <c r="E375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94" i="11"/>
  <c r="E249" i="11"/>
  <c r="E395" i="11"/>
  <c r="E396" i="11"/>
  <c r="E397" i="11"/>
  <c r="E398" i="11"/>
  <c r="E399" i="11"/>
  <c r="E217" i="11"/>
  <c r="E218" i="11"/>
  <c r="E219" i="11"/>
  <c r="E220" i="11"/>
  <c r="E221" i="11"/>
  <c r="E222" i="11"/>
  <c r="E223" i="11"/>
  <c r="E224" i="11"/>
  <c r="E225" i="11"/>
  <c r="E235" i="11"/>
  <c r="E406" i="11"/>
  <c r="E407" i="11"/>
  <c r="E333" i="11"/>
  <c r="E259" i="11"/>
  <c r="E295" i="11"/>
  <c r="E296" i="11"/>
  <c r="E260" i="11"/>
  <c r="E94" i="11"/>
  <c r="E297" i="11"/>
  <c r="E45" i="11"/>
  <c r="E34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334" i="11"/>
  <c r="E335" i="11"/>
  <c r="E336" i="11"/>
  <c r="E337" i="11"/>
  <c r="E338" i="11"/>
  <c r="E339" i="11"/>
  <c r="E340" i="11"/>
  <c r="E261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283" i="11"/>
  <c r="E236" i="11"/>
  <c r="E291" i="11"/>
  <c r="E292" i="11"/>
  <c r="E293" i="11"/>
  <c r="E294" i="11"/>
  <c r="E237" i="11"/>
  <c r="E284" i="11"/>
  <c r="E376" i="11"/>
  <c r="E298" i="11"/>
  <c r="E250" i="11"/>
  <c r="E251" i="11"/>
  <c r="E238" i="11"/>
  <c r="E420" i="11"/>
  <c r="E421" i="11"/>
  <c r="E422" i="11"/>
  <c r="E423" i="11"/>
  <c r="E424" i="11"/>
  <c r="E425" i="11"/>
  <c r="E400" i="11"/>
  <c r="E299" i="11"/>
  <c r="E382" i="11"/>
  <c r="E387" i="11"/>
  <c r="E388" i="11"/>
  <c r="E383" i="11"/>
  <c r="E226" i="11"/>
  <c r="E384" i="11"/>
  <c r="E262" i="11"/>
  <c r="E342" i="11"/>
  <c r="E385" i="11"/>
  <c r="E401" i="11"/>
  <c r="E402" i="11"/>
  <c r="E403" i="11"/>
  <c r="E404" i="11"/>
  <c r="E405" i="11"/>
  <c r="E314" i="11"/>
  <c r="E315" i="11"/>
  <c r="E285" i="11"/>
  <c r="E386" i="11"/>
  <c r="E252" i="11"/>
  <c r="E57" i="11"/>
  <c r="E65" i="11"/>
  <c r="E66" i="11"/>
  <c r="E58" i="11"/>
  <c r="E59" i="11"/>
  <c r="E67" i="11"/>
  <c r="E60" i="11"/>
  <c r="E61" i="11"/>
  <c r="E68" i="11"/>
  <c r="E69" i="11"/>
  <c r="E70" i="11"/>
  <c r="E62" i="11"/>
  <c r="E63" i="11"/>
  <c r="E64" i="11"/>
  <c r="E71" i="11"/>
  <c r="E72" i="11"/>
  <c r="E78" i="11"/>
  <c r="E79" i="11"/>
  <c r="E73" i="11"/>
  <c r="E80" i="11"/>
  <c r="E75" i="11"/>
  <c r="E76" i="11"/>
  <c r="E77" i="11"/>
  <c r="E10" i="11"/>
  <c r="E11" i="11"/>
  <c r="E19" i="11"/>
  <c r="E12" i="11"/>
  <c r="E13" i="11"/>
  <c r="E14" i="11"/>
  <c r="E20" i="11"/>
  <c r="E21" i="11"/>
  <c r="E22" i="11"/>
  <c r="E23" i="11"/>
  <c r="E24" i="11"/>
  <c r="E15" i="11"/>
  <c r="E16" i="11"/>
  <c r="E50" i="11"/>
  <c r="E51" i="11"/>
  <c r="E52" i="11"/>
  <c r="E448" i="11"/>
  <c r="E449" i="11"/>
  <c r="E450" i="11"/>
  <c r="E451" i="11"/>
  <c r="E25" i="11"/>
  <c r="E26" i="11"/>
  <c r="E27" i="11"/>
  <c r="E28" i="11"/>
  <c r="E53" i="11"/>
  <c r="E54" i="11"/>
  <c r="E55" i="11"/>
  <c r="E452" i="11"/>
  <c r="E453" i="11"/>
  <c r="E454" i="11"/>
  <c r="E455" i="11"/>
  <c r="E456" i="11"/>
  <c r="E457" i="11"/>
  <c r="E17" i="11"/>
  <c r="E74" i="11"/>
  <c r="E18" i="11"/>
  <c r="E332" i="11"/>
  <c r="E325" i="11"/>
  <c r="E326" i="11"/>
  <c r="E327" i="11"/>
  <c r="E328" i="11"/>
  <c r="E458" i="11"/>
  <c r="E459" i="11"/>
  <c r="E460" i="11"/>
  <c r="E263" i="11"/>
  <c r="E264" i="11"/>
  <c r="E461" i="11"/>
  <c r="E462" i="11"/>
  <c r="E463" i="11"/>
  <c r="E464" i="11"/>
  <c r="E389" i="11"/>
  <c r="E390" i="11"/>
  <c r="E391" i="11"/>
  <c r="E392" i="11"/>
  <c r="E47" i="11"/>
  <c r="E393" i="11"/>
  <c r="E341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90" i="16"/>
  <c r="B91" i="16"/>
  <c r="B92" i="16"/>
  <c r="B84" i="16"/>
  <c r="B85" i="16"/>
  <c r="B86" i="16"/>
  <c r="B87" i="16"/>
  <c r="B88" i="16"/>
  <c r="B89" i="16"/>
  <c r="B93" i="16"/>
  <c r="B94" i="16"/>
  <c r="B95" i="16"/>
  <c r="B278" i="16"/>
  <c r="B277" i="16"/>
  <c r="B276" i="16"/>
  <c r="B275" i="16"/>
  <c r="B274" i="16"/>
  <c r="B273" i="16"/>
  <c r="B272" i="16"/>
  <c r="B271" i="16"/>
  <c r="B270" i="16"/>
  <c r="B269" i="16"/>
  <c r="B268" i="16"/>
  <c r="B267" i="16"/>
  <c r="B266" i="16"/>
  <c r="B265" i="16"/>
  <c r="B264" i="16"/>
  <c r="B263" i="16"/>
  <c r="B262" i="16"/>
  <c r="B261" i="16"/>
  <c r="B260" i="16"/>
  <c r="B259" i="16"/>
  <c r="B258" i="16"/>
  <c r="B257" i="16"/>
  <c r="B256" i="16"/>
  <c r="B255" i="16"/>
  <c r="B254" i="16"/>
  <c r="B253" i="16"/>
  <c r="B252" i="16"/>
  <c r="B251" i="16"/>
  <c r="B250" i="16"/>
  <c r="B249" i="16"/>
  <c r="B248" i="16"/>
  <c r="B247" i="16"/>
  <c r="B246" i="16"/>
  <c r="B245" i="16"/>
  <c r="B244" i="16"/>
  <c r="B243" i="16"/>
  <c r="B242" i="16"/>
  <c r="B241" i="16"/>
  <c r="B240" i="16"/>
  <c r="B239" i="16"/>
  <c r="B238" i="16"/>
  <c r="B237" i="16"/>
  <c r="B236" i="16"/>
  <c r="B235" i="16"/>
  <c r="B234" i="16"/>
  <c r="B233" i="16"/>
  <c r="B232" i="16"/>
  <c r="B231" i="16"/>
  <c r="B230" i="16"/>
  <c r="B229" i="16"/>
  <c r="B228" i="16"/>
  <c r="B227" i="16"/>
  <c r="B226" i="16"/>
  <c r="B225" i="16"/>
  <c r="B224" i="16"/>
  <c r="B223" i="16"/>
  <c r="B222" i="16"/>
  <c r="B221" i="16"/>
  <c r="B220" i="16"/>
  <c r="B219" i="16"/>
  <c r="B218" i="16"/>
  <c r="B217" i="16"/>
  <c r="B216" i="16"/>
  <c r="B215" i="16"/>
  <c r="B214" i="16"/>
  <c r="B213" i="16"/>
  <c r="B212" i="16"/>
  <c r="B211" i="16"/>
  <c r="B210" i="16"/>
  <c r="B209" i="16"/>
  <c r="B208" i="16"/>
  <c r="B207" i="16"/>
  <c r="B206" i="16"/>
  <c r="B205" i="16"/>
  <c r="B204" i="16"/>
  <c r="B203" i="16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</calcChain>
</file>

<file path=xl/sharedStrings.xml><?xml version="1.0" encoding="utf-8"?>
<sst xmlns="http://schemas.openxmlformats.org/spreadsheetml/2006/main" count="3274" uniqueCount="760">
  <si>
    <t>ملاحظات</t>
  </si>
  <si>
    <t>ا</t>
  </si>
  <si>
    <t>م</t>
  </si>
  <si>
    <t>العدد</t>
  </si>
  <si>
    <t>الحالة الفنية</t>
  </si>
  <si>
    <t>جديد</t>
  </si>
  <si>
    <t>الموديل</t>
  </si>
  <si>
    <t>النوع</t>
  </si>
  <si>
    <t>اسم المسلّم</t>
  </si>
  <si>
    <t>تاريخ الإستلام</t>
  </si>
  <si>
    <t>الوحدة</t>
  </si>
  <si>
    <t>رقم الطبلية</t>
  </si>
  <si>
    <t>DH-IPC-HDBW5442EN-Z4E</t>
  </si>
  <si>
    <t>DH-PFS4420-16GT-DP</t>
  </si>
  <si>
    <t>DH-IPC-PFW8840N-A180</t>
  </si>
  <si>
    <t>DHI-NVR5416-16P-4KS2E</t>
  </si>
  <si>
    <t>DH-TPC-BF5421P-T</t>
  </si>
  <si>
    <t>DH-SD8A240WAN-HNF</t>
  </si>
  <si>
    <t>DH-PFS4218-16GT-240</t>
  </si>
  <si>
    <t>DH-PFA152-E</t>
  </si>
  <si>
    <t>EVS5016S-R</t>
  </si>
  <si>
    <t>DHI-NKB5000-F</t>
  </si>
  <si>
    <t>DHI-NVR4216-16P-4KS2/L</t>
  </si>
  <si>
    <t>GSFP-1310-20-SMF</t>
  </si>
  <si>
    <t>DHI-NVR4208-8P-4KS2/L</t>
  </si>
  <si>
    <t>IPC-HUM8441-L4</t>
  </si>
  <si>
    <t>DH-W-HDMI20M</t>
  </si>
  <si>
    <t>"2MP 30x Starlight I</t>
  </si>
  <si>
    <t>PFT3970</t>
  </si>
  <si>
    <t>PFT3960</t>
  </si>
  <si>
    <t>RQW026-00</t>
  </si>
  <si>
    <t>DH-PFM320D-BS</t>
  </si>
  <si>
    <t>DH-IPC-HFW2831S-S-S2</t>
  </si>
  <si>
    <t>DHI-NVR4108HS-4KS2/L</t>
  </si>
  <si>
    <t>DH-IPC-HDBW2831RN-ZS</t>
  </si>
  <si>
    <t>DH-IPC-HDBW5431E-Z</t>
  </si>
  <si>
    <t>DH-PFA130-E</t>
  </si>
  <si>
    <t>DH-IPC-HFW2531TN-ZS-S2</t>
  </si>
  <si>
    <t>H4W4PER2V</t>
  </si>
  <si>
    <t>H4W8PER2V</t>
  </si>
  <si>
    <t>HBW4PER1V</t>
  </si>
  <si>
    <t>HBW4PER2V</t>
  </si>
  <si>
    <t>HC30W45R2</t>
  </si>
  <si>
    <t>HC30W45R3</t>
  </si>
  <si>
    <t>HC30WB5R2</t>
  </si>
  <si>
    <t>HDZWM2</t>
  </si>
  <si>
    <t>HEN32304</t>
  </si>
  <si>
    <t>HEN64204</t>
  </si>
  <si>
    <t>HEN64304</t>
  </si>
  <si>
    <t>HQA-PM2</t>
  </si>
  <si>
    <t>HQA-WK</t>
  </si>
  <si>
    <t>OP10HONS</t>
  </si>
  <si>
    <t>PATCH CORD LC/PC - LC/PC SM SX 20MTR YELLOW</t>
  </si>
  <si>
    <t xml:space="preserve">PATCH CORD LC/APC-LC/APC SM SX 20MTR YELLOW </t>
  </si>
  <si>
    <t xml:space="preserve">PATCH CORD LC/PC-LC/PC SM SX 25MTR YELLOW </t>
  </si>
  <si>
    <t xml:space="preserve">PATCH CORD LC/PC-LC/PC SIMPLEX SHORT BOOT 20 MTR BLUE </t>
  </si>
  <si>
    <t xml:space="preserve">PATCH CORD LC/PC-SC/PC SM SX 20MTR BLUE </t>
  </si>
  <si>
    <t xml:space="preserve">PATCH CORD LC/APC-LC/PC SM SX 25MTR YELLOW </t>
  </si>
  <si>
    <t xml:space="preserve">PATCH CORD LC/APC-SC/UPC SM SX 20MTR YELLOW </t>
  </si>
  <si>
    <t xml:space="preserve">PATCH CORD LC/PC-LC/PC SM SX 17MTR YELLOW </t>
  </si>
  <si>
    <t xml:space="preserve">PATCH CORD E-2000/APC-E2000/APC SM SX 10MTR BLUE </t>
  </si>
  <si>
    <t xml:space="preserve">PATCH CORD SC/APC SC/APC SM 10MTR YELLOW </t>
  </si>
  <si>
    <t xml:space="preserve">PATCH CORD LC/PC-SC/PC SM 30MTR YELLOW </t>
  </si>
  <si>
    <t xml:space="preserve">PATCH CORD LC/PC-FC/PC MM SX 30MTR ORANGE </t>
  </si>
  <si>
    <t xml:space="preserve">PATCH CORD LC/PC-LC/PC SHORT BOOT SM SX 30MTR BLUE </t>
  </si>
  <si>
    <t xml:space="preserve">PATCH CORD LC/PC-SC/PC MM SX 30MTR ORANGE </t>
  </si>
  <si>
    <t xml:space="preserve">PATCH CORD LC/APC-LC/PC SM 30MTR YELLOW </t>
  </si>
  <si>
    <t xml:space="preserve">PATCH CORD LC/APC-SC/UPC SM SX 30MTR YELLOW </t>
  </si>
  <si>
    <t xml:space="preserve">PATCH CORD LC/PC-LC/PC MM 30MTR ORANGE </t>
  </si>
  <si>
    <t xml:space="preserve">PATCH CORD LC/UPC--LC/UPC MM OM2 ORANGE 5MTR </t>
  </si>
  <si>
    <t xml:space="preserve">PATCH CORD LC/APC-LC/UPC SM 20MTR YELLOW </t>
  </si>
  <si>
    <t xml:space="preserve">PATCH CORD E2000/APC -E2000/APC SM SX 15MTR BLUE </t>
  </si>
  <si>
    <t xml:space="preserve">PATCH CORD LC/PC-LC/PC SM SX 15MTR BLUE </t>
  </si>
  <si>
    <t xml:space="preserve">PATCH CORD LC/PC-LC/PC SM 10MTR BLUE </t>
  </si>
  <si>
    <t xml:space="preserve">PATCH CORD LC/APC-LC/APC SM SX 1.6MM 15MTR YELLOW </t>
  </si>
  <si>
    <t xml:space="preserve">PATCH CORD LC/PC-LC/PC 1.6MM SM SHORT BOOT 15MTR </t>
  </si>
  <si>
    <t xml:space="preserve">PACTH CORD LC/PC-SC/PC SM 10MTR YELLOW </t>
  </si>
  <si>
    <t xml:space="preserve">PATCH CORD LC/APC-LC/APC SM 10 MTR YELLOW </t>
  </si>
  <si>
    <t xml:space="preserve">PATCH CORD LC/PC-SC/PC SM 10MTR YELLOW </t>
  </si>
  <si>
    <t xml:space="preserve">PATCH CORD LC/PC-FC/PC SM DX 1.6MM 10 MTR ORANGE </t>
  </si>
  <si>
    <t xml:space="preserve">PATCH CORD LC/PC-SC/APC SM SX 10MTR </t>
  </si>
  <si>
    <t xml:space="preserve">PATCH CORD MM LC-LC 50MTR ORANGE </t>
  </si>
  <si>
    <t xml:space="preserve">PATCH CORD LC/PC-LC/PC SM SX 10MTR ORANGE </t>
  </si>
  <si>
    <t xml:space="preserve">PATCH CORD LC/PC SC PC/ SM SX 10MTR ORANGE </t>
  </si>
  <si>
    <t xml:space="preserve">PATCH CORD LC/PC-LC/APC 3MTR </t>
  </si>
  <si>
    <t xml:space="preserve">PATCH CORD LC/APC-LC/APC SM SX 3MTR </t>
  </si>
  <si>
    <t xml:space="preserve">PATHC CORD LC/UPC-LC/UPC SM SX 3MTR </t>
  </si>
  <si>
    <t xml:space="preserve">PATCH CORD LC/APC-LC/APC SM SX 5MTR YELLOW </t>
  </si>
  <si>
    <t xml:space="preserve">PATCH CORD LC-LC SM SX 5MTR ORANGE </t>
  </si>
  <si>
    <t>PATCH CORD FC/UPC-FC/UPC SM 5MTR</t>
  </si>
  <si>
    <t xml:space="preserve">PATCH CORD LC/PC-FC/PC SM SX 5MTR </t>
  </si>
  <si>
    <t>PATCH CORD LC/PC-SC/PC SM 35 MTR</t>
  </si>
  <si>
    <t xml:space="preserve">PATCH CORD LC/PC-SC/PC SM SX 15MTR </t>
  </si>
  <si>
    <t xml:space="preserve">PATCH CORD LC/PC-SC/PC SM SX YELLOW 20MTR </t>
  </si>
  <si>
    <t xml:space="preserve">PATCH CORD LC/PC -SC/PC SM SX 10MTR YELLOW </t>
  </si>
  <si>
    <t xml:space="preserve">PATCH CORD SC/APC-SC/APC 10MTR SM SX YELLOW </t>
  </si>
  <si>
    <t xml:space="preserve">PATCH CORD LC/PC-SC/PC SM SX SHORT BOOT YELLOW 65 MTR </t>
  </si>
  <si>
    <t xml:space="preserve">PATCH CORD LC/PC SC/PC SM SX 25MTR BLUE </t>
  </si>
  <si>
    <t xml:space="preserve">PATCH CORD LC/PC SC/PC SM SX 17MTR BLUE </t>
  </si>
  <si>
    <t xml:space="preserve">PATCH CORD LC/PC -LC/PC SM SX 25MTR BLUE </t>
  </si>
  <si>
    <t xml:space="preserve">PATCH CORD LC/PC-LC/PC SM SX 40MTR YELLOW </t>
  </si>
  <si>
    <t xml:space="preserve">PATCH CORD LC/APC-LC/PC SM 2MM 17.5MTR YELLOW </t>
  </si>
  <si>
    <t xml:space="preserve">PATCH CORD LC/PC -LC/PC SM SX 17MTR YELLOW </t>
  </si>
  <si>
    <t>PATCH CORD SC/APC-SC/UPC SM SX 3MTR YELLOW</t>
  </si>
  <si>
    <t xml:space="preserve">PATCH CORD LC/APC-LC/APC SM DX 3MTR </t>
  </si>
  <si>
    <t>PATCH CORD LC/APC/SC/APC SM SX 5MTR YELLO W</t>
  </si>
  <si>
    <t xml:space="preserve">PATCH CORD LC/APC-SC/APC SM SX 3MTR YELLOW </t>
  </si>
  <si>
    <t>PATCH CORD LC/PC-FC/PC SM SX 50MTR YELLOW</t>
  </si>
  <si>
    <t xml:space="preserve">PATCH CORD LC/ACP-LC/UPC SM SX 30MTR YELLOW </t>
  </si>
  <si>
    <t xml:space="preserve">PATCH CORD MM LC/PC-LC/PC 20MTR ORANGE </t>
  </si>
  <si>
    <t xml:space="preserve">PATCH CORD LC/ACP-SC/UPC SM DX 35 MTR BLUE </t>
  </si>
  <si>
    <t xml:space="preserve">PATCH CORD LC/PC-LC/PC SM SX 90 MTR YELLOW </t>
  </si>
  <si>
    <t>PATCH CORD LC/PC -LC/PC SM SX SHORT BOOT YELLOW 3MTR</t>
  </si>
  <si>
    <t xml:space="preserve">PATCH CORD SC/UPC-SC/UPC SM 1.6MM 7 MTR </t>
  </si>
  <si>
    <t xml:space="preserve">PATC H CORD LC/PC-SC /PC SM SX 7MTR YELLOW </t>
  </si>
  <si>
    <t xml:space="preserve">PATCH CORD LC/PC-SC/PC SM SX 7MTR BLUE </t>
  </si>
  <si>
    <t xml:space="preserve">PATCH CORD LC/PC-LC/APC SM SX 12 MTR BLUE </t>
  </si>
  <si>
    <t xml:space="preserve">PATCH CORD LC/PC-LC/APC SM SX 12 MTR YELLOW </t>
  </si>
  <si>
    <t xml:space="preserve">PATCH CORD LC/PC-LC/PC SM SX SHORT BOOT 12 MTR BLUE </t>
  </si>
  <si>
    <t xml:space="preserve">PATCH CORD LC/APC -LC/PC SM SX SHORT BOOT 12 MTR YELLOW </t>
  </si>
  <si>
    <t xml:space="preserve">PATCH CORD LC/PC-LC/PC SM SX SHORT BOOT 40MTR BLUE </t>
  </si>
  <si>
    <t xml:space="preserve">PATCH CORD FC/PC-LC/APC SM DX 20MTR YELLOW </t>
  </si>
  <si>
    <t xml:space="preserve">PATCH CORD LC/APC-LC/APC SM DX 10MTR YELLOW </t>
  </si>
  <si>
    <t xml:space="preserve">PATCH CORD LC/APC-LC/APC SM DX 25MTR YELLOW </t>
  </si>
  <si>
    <t xml:space="preserve">PATCH CORD LC/PC-LC/PC MM 20MTR DX ORANGE </t>
  </si>
  <si>
    <t xml:space="preserve">PATCH CORD LC/PC-SC/PC SM DX 20MTR YELLOW </t>
  </si>
  <si>
    <t xml:space="preserve">LC/PC-FC-PC MM DX 20MTR ORANGE </t>
  </si>
  <si>
    <t xml:space="preserve">PATCH CORD LC/APC-SC/PC SM DX 20MTR YELLOW </t>
  </si>
  <si>
    <t>PATCH CORD LC/PC-LC/PC MM 10MTR ORANGE DX</t>
  </si>
  <si>
    <t xml:space="preserve">PATCH CORD FC/PC-LC/PC SM DX 30MTR YELLOW </t>
  </si>
  <si>
    <t xml:space="preserve">PATCH CORD LC/PC-FC/PC SM DX 30MTR MM ORANGE </t>
  </si>
  <si>
    <t xml:space="preserve">PATCH CORD LC/PC-LC/PC MM 10MTR DX </t>
  </si>
  <si>
    <t xml:space="preserve">PATCH CORD LC/UPC-LC/APC SM DX 10MTR YELLOW </t>
  </si>
  <si>
    <t>PATCH CORD LC/PC-FC/PC SM DX 20MTR YELLOW</t>
  </si>
  <si>
    <t xml:space="preserve">PATCH CORD LC/PC-FC/PC SM DX 5MTR YELLOW </t>
  </si>
  <si>
    <t xml:space="preserve">PATCH CORD LC-FC SM DX 10MTR </t>
  </si>
  <si>
    <t xml:space="preserve">PATCH CORD LC/APC -FC/PC SM DX 3MTR </t>
  </si>
  <si>
    <t>PATC CORD LC/PC - LC/PC MM OM3 AQUA 10MTR</t>
  </si>
  <si>
    <t xml:space="preserve">PATCH CORD FC/APC -FC/APC DX 5MTR </t>
  </si>
  <si>
    <t xml:space="preserve">PATCH CORD LC/APC-FC/PC SM DX 10MTR YELLOW </t>
  </si>
  <si>
    <t xml:space="preserve">PATCH CORD LC/PC-LC/PC 10MTR SM DX ORANGE </t>
  </si>
  <si>
    <t xml:space="preserve">PATCH CORD LC/APC-LC/APC SM DX 20MTR </t>
  </si>
  <si>
    <t xml:space="preserve">PATCH CORD LC/PC-FC/PC SM DX 15MTR YELLOW </t>
  </si>
  <si>
    <t xml:space="preserve">PATCH CORD LC/PC-FC/PC SM DX 12.5MTR YELLOW </t>
  </si>
  <si>
    <t xml:space="preserve">PATCH CORD LC/PC-LC/PC SM DX 30MTR AUQA </t>
  </si>
  <si>
    <t>PATCH CORD LC/PC-LC/PC SM DX 55MTR AQUA</t>
  </si>
  <si>
    <t>PATCH CORD LC/PC SC/PC SM DX 80 MTR YELLO W</t>
  </si>
  <si>
    <t xml:space="preserve">PATCH CORD LC/PC-LC/PC SHORT BOOT SM DX 25MTR BLUE </t>
  </si>
  <si>
    <t xml:space="preserve">PATCH CORD LC/PC-LC/PC MM SM DX 25MTR AQUA </t>
  </si>
  <si>
    <t xml:space="preserve">PATCH CORD LC/PC SC /PC MM DX 25MTR AUQA </t>
  </si>
  <si>
    <t>PATCH CORD LC/PC -SC/APC SM DX SHORT BOOT 8MTR YELLO W</t>
  </si>
  <si>
    <t xml:space="preserve">PATCH CORD LC/PC-LC/PC MM DX 17 MTR ORANGE </t>
  </si>
  <si>
    <t xml:space="preserve">PATHCHCORD LC/PC-LC/PC SM DX SHORT BOOT BLUE 17MTR </t>
  </si>
  <si>
    <t xml:space="preserve">PATCH CORD LC/UPC -FC/UPC 15MTR DX YELLOW </t>
  </si>
  <si>
    <t xml:space="preserve">PATCH CORD LC/UPC -FC/UPC SM DX 20MTR YELLOW </t>
  </si>
  <si>
    <t xml:space="preserve">PATCH CORD LC/UPC -FC/UPC SM DX 12.5MTR YELLOW </t>
  </si>
  <si>
    <t xml:space="preserve">PATCH CORD LC/PC-LC/PC SM DX 50MTR YELLOW </t>
  </si>
  <si>
    <t xml:space="preserve">PATCH CORD LC/PC-LC/PC SM DX SHORT BOOT YELLOW 17 MTR </t>
  </si>
  <si>
    <t xml:space="preserve">PATCH CORD LC/PC-SC/PC SM DX 3MTR YELLOW </t>
  </si>
  <si>
    <t xml:space="preserve">PATCH CORD LC/PC-LC/PC SM DX 40MTR BLUE </t>
  </si>
  <si>
    <t xml:space="preserve">LC/PC-SC/PC SM DX 40MTR BLUE </t>
  </si>
  <si>
    <t xml:space="preserve">PATCH CORD LC/PC-LC/PC SM DX 60MTR YELLOW </t>
  </si>
  <si>
    <t xml:space="preserve">PATCH CORD LC/PC-LC/PC SMDX 80 MTR YELLOW </t>
  </si>
  <si>
    <t xml:space="preserve">LC-FC SM DX 100MTR </t>
  </si>
  <si>
    <t xml:space="preserve">PATCH CORD LC/PC-LC/PC MM DX 19MTR AQUA </t>
  </si>
  <si>
    <t xml:space="preserve">PATCH CORD LC/PC-SC/PC SHORT BOOT SM DX 6MTR YELLOW </t>
  </si>
  <si>
    <t xml:space="preserve">PATCH CORD LC/PC-SC/PC SM DX SHORT BOOT 7.5MTR YELLOW </t>
  </si>
  <si>
    <t xml:space="preserve">PATCH CORD LC/PC-FC/PC SM DX 12MTR YELLLOW </t>
  </si>
  <si>
    <t xml:space="preserve">PATCH CORD LC/PC-SC/PC MM DX SHORT BOOT 12 MTR ORANGE </t>
  </si>
  <si>
    <t xml:space="preserve">OUT DOOR LC/UPC-LC/UPC SM DX 200MTR  </t>
  </si>
  <si>
    <t xml:space="preserve">OUT DOOR LC/UPC-LC/UPC SM DX 100MTR  </t>
  </si>
  <si>
    <t xml:space="preserve">OUT DOOR LC/UPC-LC/UPC SM DX 30MTR  </t>
  </si>
  <si>
    <t xml:space="preserve">OUT DOOR LC/UPC-LC/UPC SM DX 150MTR  </t>
  </si>
  <si>
    <t>Pigtails LC /UPC Multimode orange color 1.6mm ,2mtr</t>
  </si>
  <si>
    <t xml:space="preserve">Pigtail Sc 2 mtr </t>
  </si>
  <si>
    <t>Pigtail Sc 1.5mtr Hicom</t>
  </si>
  <si>
    <t>PIGTAIL SC /APC 0.9MM 1.5 MTR BLUE</t>
  </si>
  <si>
    <t>Color Pigtails  LC 1/2</t>
  </si>
  <si>
    <t>Color pigtails LC 1/16</t>
  </si>
  <si>
    <t>Color Pigtails  LC 1/4</t>
  </si>
  <si>
    <t xml:space="preserve">Color pigtails  1/8 </t>
  </si>
  <si>
    <t>DOME CLOSURE FIBER ACCESS 288 FIBER</t>
  </si>
  <si>
    <t>JOINT CLOSURE 288 F AMWAJ</t>
  </si>
  <si>
    <t>Closure Fiber optic cable Type 96 fiber</t>
  </si>
  <si>
    <t xml:space="preserve">2740019400005 - CLOSURE FIBER ACCESS TERMINAL OUTDOOR 24CABLE </t>
  </si>
  <si>
    <t>271891900663 - DOME CLOUSRE FIBER OPTIC CABLE 288FIBER 635MMX245MMX245MM</t>
  </si>
  <si>
    <t xml:space="preserve">271891900652 - Dome Clouser,Fiber Access Terminal Outdoor,24 Cable ,144 FIBER </t>
  </si>
  <si>
    <t xml:space="preserve">DOME FIBER OPTIC SPLICE CLOSURE 288 FIBER </t>
  </si>
  <si>
    <t>Dome Closure, Fiber Optic Cable 24  FIBER 1IN3OUT</t>
  </si>
  <si>
    <t xml:space="preserve">Splice inclosure Type 1 </t>
  </si>
  <si>
    <t xml:space="preserve">Closure Fiber Access Terminal Outdoor 24 cable 144 fiber </t>
  </si>
  <si>
    <t>ATTUNATOR LC/UPC 1DB</t>
  </si>
  <si>
    <t xml:space="preserve">FIBER OPTIC ADAPTER RED </t>
  </si>
  <si>
    <t>Fiber Attenuator…LC/UPC,15 dB</t>
  </si>
  <si>
    <t>Fiber Attenuator…LC/UPC,11 dB</t>
  </si>
  <si>
    <t>Fiber Attenuator…FC/UPC,10 dB</t>
  </si>
  <si>
    <t>Fiber Attenuator FC /UPC,5DB</t>
  </si>
  <si>
    <t>Fiber Attenuator  FC/UPC,7DB</t>
  </si>
  <si>
    <t>Fiber Attenuator  LC/UPC,6DB</t>
  </si>
  <si>
    <t>Fiber Attenuator  LC/UPC,5DB</t>
  </si>
  <si>
    <t>Fiber Attenuator  LC/UPC,4DB</t>
  </si>
  <si>
    <t>Fiber Attenuator  LC/UPC,3DB</t>
  </si>
  <si>
    <t>Fiber Attenuator  LC/UPC,16 DB</t>
  </si>
  <si>
    <t>Fiber Attenuator  FC/APC, 5dB</t>
  </si>
  <si>
    <t>Fiber Attenuator  LC/APC, 10dB</t>
  </si>
  <si>
    <t>Adapter Sc (OLD )</t>
  </si>
  <si>
    <t xml:space="preserve">SC FAST CONNECTOR </t>
  </si>
  <si>
    <t xml:space="preserve">Adapter SC/APC FASTEN </t>
  </si>
  <si>
    <t xml:space="preserve">ADAPTER LC/APC FASTEN </t>
  </si>
  <si>
    <t xml:space="preserve">PATCH PANEL 24 PORT </t>
  </si>
  <si>
    <t>2718919000587 - BYPASS PANEL DOOR TYPE 3</t>
  </si>
  <si>
    <t>Fiber Patch Panel 48 Port</t>
  </si>
  <si>
    <t>OPTICAL SPILLTER BOX INDOOR 1:32 SPLITTER SYNA</t>
  </si>
  <si>
    <t>SPLITTER 1:32</t>
  </si>
  <si>
    <t>Fiber optical splitter non matalic type 1x32 lc apc</t>
  </si>
  <si>
    <t>ETHERNET CABLE 50MTR</t>
  </si>
  <si>
    <t>ETHERNET CABLE 5 MTR</t>
  </si>
  <si>
    <t>ETHERNET CABLE 30 MTR</t>
  </si>
  <si>
    <t>ETHERNET CABLE 3 MTR</t>
  </si>
  <si>
    <t>ETHERNET CABLE 20 MTR</t>
  </si>
  <si>
    <t>ETHERNET CABLE 15 MTR</t>
  </si>
  <si>
    <t xml:space="preserve">ETHERNET CABLE 10 MTR </t>
  </si>
  <si>
    <t>ETHERNET CABLE 1 MTR</t>
  </si>
  <si>
    <t>RJ11 Connector 100PCS/PKT</t>
  </si>
  <si>
    <t>RJ45 BOOT</t>
  </si>
  <si>
    <t xml:space="preserve">CAT 6 CABLE 305 MTR </t>
  </si>
  <si>
    <t>HDMI CABLE 5 MTR</t>
  </si>
  <si>
    <t>HDMI CABLE 3 MTR</t>
  </si>
  <si>
    <t>HDMI CABLE 10 MTR</t>
  </si>
  <si>
    <t xml:space="preserve">PATCH CORD HDMI FEMALE </t>
  </si>
  <si>
    <t xml:space="preserve">HDMI 1.8M </t>
  </si>
  <si>
    <t>ATB BOX SYNA WITHOUT ADAPTER ( EMPTY )</t>
  </si>
  <si>
    <t>ATB BOX FACE PLATE (Non approved )</t>
  </si>
  <si>
    <t>MOBILY ATB</t>
  </si>
  <si>
    <t>FIBER SPIRAL 16MM</t>
  </si>
  <si>
    <t xml:space="preserve">FIBER SPIRAL 14MM </t>
  </si>
  <si>
    <t>FIBER SLEEVE 60MM (100 PCS)</t>
  </si>
  <si>
    <t>FIBER SLEEVE 40MM</t>
  </si>
  <si>
    <t>TAPE ELECTRICAL WHITE</t>
  </si>
  <si>
    <t>DOUBLE SIDE TAPES</t>
  </si>
  <si>
    <t>TAPE ELECTRICAL YELLOW</t>
  </si>
  <si>
    <t xml:space="preserve">SPLICING MACHINE TYPE -72 C + SOMITOMO </t>
  </si>
  <si>
    <t xml:space="preserve">OTDR VIAVI </t>
  </si>
  <si>
    <t xml:space="preserve">IPC TESTER </t>
  </si>
  <si>
    <t xml:space="preserve">Fiber Identifier </t>
  </si>
  <si>
    <t xml:space="preserve">STEEL TAGGING MACHINE DYMO </t>
  </si>
  <si>
    <t xml:space="preserve">CABLE PUNCHER BLUE </t>
  </si>
  <si>
    <t xml:space="preserve">SCREW DRIVER SET COMPLETE </t>
  </si>
  <si>
    <t>GLOVES SAFETY</t>
  </si>
  <si>
    <t>L KEY SET</t>
  </si>
  <si>
    <t xml:space="preserve">CLEAVER FIBER </t>
  </si>
  <si>
    <t xml:space="preserve">LONG NOSE PLIER </t>
  </si>
  <si>
    <t xml:space="preserve">HAMMER </t>
  </si>
  <si>
    <t xml:space="preserve">ERRICSON PUNCHER </t>
  </si>
  <si>
    <t>SCREW DRIVER +</t>
  </si>
  <si>
    <t>SCREW DRIVER -</t>
  </si>
  <si>
    <t>OPTICAL FIBER CLEANER ONE CLICK SC</t>
  </si>
  <si>
    <t xml:space="preserve">CUTTING PLIER </t>
  </si>
  <si>
    <t xml:space="preserve">SIMPLE PLIER </t>
  </si>
  <si>
    <t xml:space="preserve">CABLE PUNCHER  </t>
  </si>
  <si>
    <t xml:space="preserve">Measuring Wheel </t>
  </si>
  <si>
    <t xml:space="preserve">RJ45 CRIMPING TOOL </t>
  </si>
  <si>
    <t>BUZZER TONE</t>
  </si>
  <si>
    <t>COTTON GLOVES</t>
  </si>
  <si>
    <t>Fiber optic cable mini duct 48 fiber</t>
  </si>
  <si>
    <t xml:space="preserve">288 F SM NON MATALIC MICRO TYPE LT DUCT OUTDOOR FIBER OPTIC CABLE </t>
  </si>
  <si>
    <t>OFC SM MINI DUCT 2F G652D</t>
  </si>
  <si>
    <t>48 FIBER SM  G657A FIBER OPTIC CABLE MEFEC</t>
  </si>
  <si>
    <t xml:space="preserve">144 FIBER SM G652D MEFEC MOBILY </t>
  </si>
  <si>
    <t>96 FIBER MINI DUCT G652D</t>
  </si>
  <si>
    <t>36 FIBER MINI DUCT FIBER CABLE G652D</t>
  </si>
  <si>
    <t>96 FIBER CABLE NON METALIC MICRO DUCT</t>
  </si>
  <si>
    <t xml:space="preserve">GREENTEL OUTDOOR DUCT CABLE GYFTH 12 C LSZH G652D KSA </t>
  </si>
  <si>
    <t xml:space="preserve">144 MINI DUCT G652D </t>
  </si>
  <si>
    <t>GYTA-36B1.3</t>
  </si>
  <si>
    <t>ADSS-24B1.3</t>
  </si>
  <si>
    <t>16F</t>
  </si>
  <si>
    <t>24F</t>
  </si>
  <si>
    <t xml:space="preserve"> 1:2,1mtr in ,1mtr out  SC/APC</t>
  </si>
  <si>
    <t>1:4,1mtr in ,1mtr out  SC/APC</t>
  </si>
  <si>
    <t>1:8,1mtr in ,1mtr out SC/APC</t>
  </si>
  <si>
    <t xml:space="preserve"> 1:16,1mtr in ,1mtr  SC/APC</t>
  </si>
  <si>
    <t>1:32,1mtr in ,1mtr out SC/APC</t>
  </si>
  <si>
    <t>LC/UPC-LC/UPC 3MTR  2.0  LSZH</t>
  </si>
  <si>
    <t>SC/UPC-SC/UPC 3MTR 2.0 LSZH</t>
  </si>
  <si>
    <t>LC/ UPC-SC/UPC 5MTR 2.0 LSZH</t>
  </si>
  <si>
    <t>SC/UPC-SC/UPC 5MTR 2.0 LSZH</t>
  </si>
  <si>
    <t>SC/UPC-LC/UPC-1MTR-DX 2.0 LSZH</t>
  </si>
  <si>
    <t>SC/UPC-LC/UPC-3MTR-DX 2.0 LSZH</t>
  </si>
  <si>
    <t>SC/UPC-SC/UPC-1MTR-DX 2.0 LSZH</t>
  </si>
  <si>
    <t>SC/UPC-SC/UPC-3MTR-DX  2.0 LSZH</t>
  </si>
  <si>
    <t>LC/UPC-LC/UPC-1MTR-DX 2.0 LSZH</t>
  </si>
  <si>
    <t>BLUE,SC/APC-0.9mm-1MTR</t>
  </si>
  <si>
    <t>SC/UPC</t>
  </si>
  <si>
    <t>seagate 16TB</t>
  </si>
  <si>
    <t>FIBER OPTIC PACH CORDS</t>
  </si>
  <si>
    <t>FIBER OPTIC PACH PIGTAILS</t>
  </si>
  <si>
    <t>FIBER OPTIC CLOSURES</t>
  </si>
  <si>
    <t>FIBER OPTIC CONNECTORS ADAPTORS</t>
  </si>
  <si>
    <t>FIBER OPTIC PATCH PANELS</t>
  </si>
  <si>
    <t>FIBER OPTIC SPLITTERS</t>
  </si>
  <si>
    <t>ETHERNET CABLES</t>
  </si>
  <si>
    <t>ETHERNET CONNECTOR</t>
  </si>
  <si>
    <t>HDMI CABLE</t>
  </si>
  <si>
    <t>FIBER OPTIC BOX</t>
  </si>
  <si>
    <t>FIBER SPIRAL</t>
  </si>
  <si>
    <t>FIBER SLEEVE</t>
  </si>
  <si>
    <t>JUNCTION BOX</t>
  </si>
  <si>
    <t>PACKING TAPES</t>
  </si>
  <si>
    <t>TESTING EQUIPMENTS</t>
  </si>
  <si>
    <t>PLASTIC CABLE CLIPS</t>
  </si>
  <si>
    <t>TOOLS</t>
  </si>
  <si>
    <t>FIBER OPTIC CABLES</t>
  </si>
  <si>
    <t>SPLITTER BOX FTB</t>
  </si>
  <si>
    <t>ABS -Fiber Splitter</t>
  </si>
  <si>
    <t>SUS-Micro Fiber Splitter</t>
  </si>
  <si>
    <t>ADAPTOR</t>
  </si>
  <si>
    <t>Hardisk</t>
  </si>
  <si>
    <t>وصلة ضوئية - باتشكورد</t>
  </si>
  <si>
    <t>وصلة ضوئية - بكتيلات</t>
  </si>
  <si>
    <t>علب توزيع فايبر - دفن</t>
  </si>
  <si>
    <t>موصلات ألياف ضوئية</t>
  </si>
  <si>
    <t>علب توزيع فايبر معدنية</t>
  </si>
  <si>
    <t>وصلات توزيع ألياف ضوئية</t>
  </si>
  <si>
    <t>كبل انترنت</t>
  </si>
  <si>
    <t>موصلات كوابل هواتف</t>
  </si>
  <si>
    <t>غطاء موصلات كوابل</t>
  </si>
  <si>
    <t>وصلات شاشة</t>
  </si>
  <si>
    <t>علب توزيع فايبر منزلية</t>
  </si>
  <si>
    <t>انبوب حلزوني  ربط للكابلات</t>
  </si>
  <si>
    <t>انبوب لحام ألياف ضوئية</t>
  </si>
  <si>
    <t>علب توزيع  بلاستيكية</t>
  </si>
  <si>
    <t>شريط تغليف</t>
  </si>
  <si>
    <t>أجهزة فحص الفايبر</t>
  </si>
  <si>
    <t>عدد  وأدوات</t>
  </si>
  <si>
    <t>كبل ألياف ضوئية</t>
  </si>
  <si>
    <t>سبليتر</t>
  </si>
  <si>
    <t>هارديسك</t>
  </si>
  <si>
    <t xml:space="preserve"> البيان</t>
  </si>
  <si>
    <t>NVR Honeywell</t>
  </si>
  <si>
    <t>جهاز تسجيل</t>
  </si>
  <si>
    <t>قطعة</t>
  </si>
  <si>
    <t>Feeder Cable</t>
  </si>
  <si>
    <t>IF CABLE 1/2 200M</t>
  </si>
  <si>
    <t>كبل اتصالات / جمبر</t>
  </si>
  <si>
    <t>علب توزيع فايبر منزلية فارغة</t>
  </si>
  <si>
    <t>FIBER OPTIC ATB WITH SC/APC ADAPTER AND PIGTAIL</t>
  </si>
  <si>
    <t>علب توزيع فايبر منزلية غير فارغة</t>
  </si>
  <si>
    <t>NVR DAHUA</t>
  </si>
  <si>
    <t>FIBER OPTICAL TERMINAL BOX 58*47.5*45.5CM</t>
  </si>
  <si>
    <t>FIBER OPTIC ACCESSORIES</t>
  </si>
  <si>
    <t>FIBER OPTICAL TERMINAL BOX 70*21*52CM</t>
  </si>
  <si>
    <t>صندوق توزيع الألياف الضوئية</t>
  </si>
  <si>
    <t>JUNCTION BOX 100*100</t>
  </si>
  <si>
    <t>قاعدة تثبيت كاميرا على عامود</t>
  </si>
  <si>
    <t>POLE MOUNT BRACKET</t>
  </si>
  <si>
    <t>قاعدة تثبيت كاميرا داخلية</t>
  </si>
  <si>
    <t>WALL MOUNT KIT</t>
  </si>
  <si>
    <t>POLE MOUNT BRACKET WITH ACCESS HOLE</t>
  </si>
  <si>
    <t>قاعدة تثبيت كاميرا متحركة</t>
  </si>
  <si>
    <t>NETWORK KEYBOARD JOYSTICK</t>
  </si>
  <si>
    <t>عصا شبكية للتحكم بكاميرات المراقبة المتحركة</t>
  </si>
  <si>
    <t>POWER ADAPTER</t>
  </si>
  <si>
    <t>بور تغذية</t>
  </si>
  <si>
    <t>بور تغذية للكاميرات</t>
  </si>
  <si>
    <t>ستاند تصوير ثلاثي القوائم</t>
  </si>
  <si>
    <t>TRIPOD</t>
  </si>
  <si>
    <t>POE SWITCH</t>
  </si>
  <si>
    <t>سويتش POE</t>
  </si>
  <si>
    <t>مزود طاقة صناعي</t>
  </si>
  <si>
    <t>DRL-48V120W1AAD</t>
  </si>
  <si>
    <t>DIN RAIL POWER SUPPLY</t>
  </si>
  <si>
    <t>علبة فايبر جدارية - كاسيت</t>
  </si>
  <si>
    <t>Wall Outlet SCAPC Pigtail Mobily 96PCE/PK</t>
  </si>
  <si>
    <t>رول</t>
  </si>
  <si>
    <t>كيس</t>
  </si>
  <si>
    <t>مشابك كابلات بلاستيكية - أتاش</t>
  </si>
  <si>
    <t>مشابك كابلات بلاستيكية - حزامات</t>
  </si>
  <si>
    <t>كاميرا داخلية 5 ميغا</t>
  </si>
  <si>
    <t>CAMERA HONEYWELL</t>
  </si>
  <si>
    <t>كاميرا خارجية 4 ميغا</t>
  </si>
  <si>
    <t>كاميرا داخلية</t>
  </si>
  <si>
    <t>CAMERA DAHUA</t>
  </si>
  <si>
    <t>كاميرا متحركة</t>
  </si>
  <si>
    <t>كاميرا داخلية 4 ميغا</t>
  </si>
  <si>
    <t>DH-SD6CE230UN-HNI</t>
  </si>
  <si>
    <t>كاميرا خارجية ذكاء اصطناعي</t>
  </si>
  <si>
    <t>كاميرا خارجية ذكا ء اصطناعي</t>
  </si>
  <si>
    <t>DH-IPC-HFW5431EN-ZE</t>
  </si>
  <si>
    <t xml:space="preserve">كاميرا خارجية </t>
  </si>
  <si>
    <t>كاميرا خارجية</t>
  </si>
  <si>
    <t>كاميرا خارجية WIZMIND</t>
  </si>
  <si>
    <t>كاميرات خارجية</t>
  </si>
  <si>
    <t>PVC CLIPS ( 4MM )</t>
  </si>
  <si>
    <t>PVC CLIPS ( 6MM )</t>
  </si>
  <si>
    <t>PVC CLIPS ( 8MM )</t>
  </si>
  <si>
    <t>PVC CLIPS ( 12MM )</t>
  </si>
  <si>
    <t>PVC CLIPS ( 14MM )</t>
  </si>
  <si>
    <t>PVC CLIPS ( 16MM )</t>
  </si>
  <si>
    <t>CABLE TIE WHITE ( 100MM )</t>
  </si>
  <si>
    <t>CABLE TIE WHITE ( 200MM )</t>
  </si>
  <si>
    <t>CABLE TIE WHITE ( 300MM )</t>
  </si>
  <si>
    <t>CABLE TIE BLACK ( 100MM )</t>
  </si>
  <si>
    <t>CABLE TIE BLACK ( 200MM )</t>
  </si>
  <si>
    <t>CABLE TIE BLACK ( 300MM )</t>
  </si>
  <si>
    <t>JUMPER CABLE 1/2 5MTR 4.3 10 MALE DIN ANGLE MALE</t>
  </si>
  <si>
    <t>JUMPER CABLE FOR 1/2 DM 4.3 5 MTR</t>
  </si>
  <si>
    <t>DIN MALE CONNECTOR FOR1/2 SF 3 MTR</t>
  </si>
  <si>
    <t>JUMPER CABLE 1/2 3M 4.3-10 MALE DINMALE</t>
  </si>
  <si>
    <t>JUMPER CABLE 22/22 3 MTR 4.3 DINMALE STRAIGHT</t>
  </si>
  <si>
    <t>JUMPER CABLE 1/2 3MTR 4.3-10 STRAIGHT N STRAIGHT NM</t>
  </si>
  <si>
    <t>JUMPER MINI DM 4.3 10 MINI DM 3MTR</t>
  </si>
  <si>
    <t>RF COAXIAL JUMPER CABLE</t>
  </si>
  <si>
    <t>أكبال أبراج ومحطات اتصالات</t>
  </si>
  <si>
    <t>JUNCTION BOX 8*8</t>
  </si>
  <si>
    <t>علب توزيع بلاستيكية</t>
  </si>
  <si>
    <t>Straight Jumper Connector DM</t>
  </si>
  <si>
    <t>Straight jumper Connector for SF</t>
  </si>
  <si>
    <t>MW IF connector straight</t>
  </si>
  <si>
    <t>Mini 4.3 10 Din Male Connector For SF cable</t>
  </si>
  <si>
    <t>NF Male Connector Right Angle</t>
  </si>
  <si>
    <t>7/16 Jumper cable Connector male Right angle</t>
  </si>
  <si>
    <t>N Female Connector For 1/2 Super Flex</t>
  </si>
  <si>
    <t>Jumper connector Straight 22 inch</t>
  </si>
  <si>
    <t>4.3 10 Jumper cable Connector Straight Angle Male</t>
  </si>
  <si>
    <t>LDF4 Connector Straight (Superflex) Din-male</t>
  </si>
  <si>
    <t>RF TELECOMMUNICATIONS</t>
  </si>
  <si>
    <t>معدات اتصالات وشبكات المحمول والاتصالات</t>
  </si>
  <si>
    <t>QMA RIGHT ANGEL CONNECTOR</t>
  </si>
  <si>
    <t>DIN MALE CONNECTOR FOR SF DMR</t>
  </si>
  <si>
    <t>IF CABLE CONNECTOR STRAIGHT OUTDOOR</t>
  </si>
  <si>
    <t>JUMPER CONnector 1/2 SUPERFLEX STRAIGHT 32 MALE</t>
  </si>
  <si>
    <t>LDF7 15/8 FEEDER CABLE CONNECTOR N TYPE NF</t>
  </si>
  <si>
    <t>LDF4 Connector L SHAPE DMR RIGHT FOR 1/2 HAND</t>
  </si>
  <si>
    <t>LDF5 7/8 TYPE N CONNECTOR MALE</t>
  </si>
  <si>
    <t>LDF5 7/8 DIN MALE CONNECTOR</t>
  </si>
  <si>
    <t>RIGHT ANGEL CONNCTOR FOR 1/2 SF</t>
  </si>
  <si>
    <t>LDF7 15/8 FEEDER CABLE CONNECTOR N TYPE NM</t>
  </si>
  <si>
    <t>LDF7 15/8 FEEDER CABLE CONNECTOR MALE DM</t>
  </si>
  <si>
    <t>LDF7 15/8 FEEDER CABLE CONNECTOR FEMALE DF</t>
  </si>
  <si>
    <t>SC/APC SM SX FLANGELESS WITH SHUTTER (GREEN&amp;WHITE)</t>
  </si>
  <si>
    <t>PIGTAIL SC /APC SM-SX 0.9MM 1.5 MTR G657A</t>
  </si>
  <si>
    <t>SPLITTER LC 1:8</t>
  </si>
  <si>
    <t>SPLITTER LC 1:16</t>
  </si>
  <si>
    <t>SPLITTER LC 1:2</t>
  </si>
  <si>
    <t>SPLITTER LC 1:4</t>
  </si>
  <si>
    <t>PIGTAIL LC/PC MM 1.5MTR ORANGE</t>
  </si>
  <si>
    <t>LC/APC SM DX FLANGELESS TYPE</t>
  </si>
  <si>
    <t>FIBER CONNECTER RED</t>
  </si>
  <si>
    <t>OPTICAL SPLITTER BOX 16F</t>
  </si>
  <si>
    <t>Splice Enclosure Type 1 288/576</t>
  </si>
  <si>
    <t>Splice CLOSURE (INLINE) 24F</t>
  </si>
  <si>
    <t>PIGTAIL SC /APC-NC-SM-1D-0.9-1M-LSZH</t>
  </si>
  <si>
    <t>EMT STRAPS ONE HOLES 1/2</t>
  </si>
  <si>
    <t>مثبتات ومشابك</t>
  </si>
  <si>
    <t>Pipe &amp; Conduit Clamps</t>
  </si>
  <si>
    <t>Cable Management &amp; Fastening Accessories</t>
  </si>
  <si>
    <t>مثبتات ومشابك - حزامة</t>
  </si>
  <si>
    <t>Stainless Steel Cable Ties 400MM</t>
  </si>
  <si>
    <t>Stainless Steel Cable Ties 250MM</t>
  </si>
  <si>
    <t>Stainless Steel Cable Ties 200MM</t>
  </si>
  <si>
    <t>Stainless Steel Cable Ties 150MM</t>
  </si>
  <si>
    <t>Stainless Steel Cable Ties 100MM</t>
  </si>
  <si>
    <t>1X32 Single Mode PLC Splitter Test Report</t>
  </si>
  <si>
    <t>SUPPLY OF OUTDOOR FIBER OPTIC</t>
  </si>
  <si>
    <t>DISTRIBUTION BOX(ODB) 24 PORTSLC/UPC CONNECTORS WALL/POLE MOUNT</t>
  </si>
  <si>
    <t>صناديق ومعدات ربط وتوزيع الشبكات الخارجية</t>
  </si>
  <si>
    <t>شريط تغليف-أبيض</t>
  </si>
  <si>
    <t>TAPE ELECTRICAL BLACK</t>
  </si>
  <si>
    <t>شريط تغليف-أسود</t>
  </si>
  <si>
    <t>شريط تغليف-أصفر</t>
  </si>
  <si>
    <t>شريط تغليف-طرفين</t>
  </si>
  <si>
    <t>Stationery &amp; Office Supplies</t>
  </si>
  <si>
    <t>Laminated 12MM BLACK ON WHITE TYPE</t>
  </si>
  <si>
    <t>خرطوشة حبر وشريط طابعة ملصقات ذكية</t>
  </si>
  <si>
    <t>CARTRIDGE 9MM BLACK INK WHITE TYPE</t>
  </si>
  <si>
    <t>BOPP Carton Sealing Tape</t>
  </si>
  <si>
    <t>شريط تغليف-شفاف</t>
  </si>
  <si>
    <t>تم استعمال 6 قطع بالمستودع</t>
  </si>
  <si>
    <t>PATCH CORD LC/PC -SC/PC SM SX YELLOW 35MTR</t>
  </si>
  <si>
    <t>عدد  وأدوات-بانسة طويلة</t>
  </si>
  <si>
    <t>عدد  وأدوات - قطاعة</t>
  </si>
  <si>
    <t>عدد  وأدوات - بانسة عادية</t>
  </si>
  <si>
    <t>عدد  وأدوات - مطرقة</t>
  </si>
  <si>
    <t>عدد  وأدوات - عجلة قياس</t>
  </si>
  <si>
    <t>Tape PVC WRAPPING GRAY 50MM*50M 2333020100006</t>
  </si>
  <si>
    <t>شريط تغليف-عازل صناعي</t>
  </si>
  <si>
    <t>عدد وأدوات - جهاز تتبع الإشارة</t>
  </si>
  <si>
    <t>عدد وأدوات - أداة تدبيس وتوصيل كابلات أصفر</t>
  </si>
  <si>
    <t>عدد وأدوات - أداة تدبيس وتوصيل كابلات أزرق</t>
  </si>
  <si>
    <t>عدد وأدوات - أداة تدبيس وتوصيل كابلات أحمر</t>
  </si>
  <si>
    <t>عدد وأدوات - منظف فايبر</t>
  </si>
  <si>
    <t>عدد وأدوات - قطاعة أحمر</t>
  </si>
  <si>
    <t>4E way box 20MM</t>
  </si>
  <si>
    <t>Copper Cable</t>
  </si>
  <si>
    <t>كبل نحاسي</t>
  </si>
  <si>
    <t>WIRE DROP 0.8MM DIA 250M/COIL</t>
  </si>
  <si>
    <t>Cabinet Locks / Accessories</t>
  </si>
  <si>
    <t>Lock The Cabin Door Asman Lucescent Fiber Unified Key</t>
  </si>
  <si>
    <t>أقفال كبائن الاتصالات الفنية</t>
  </si>
  <si>
    <t>1:8,1mtr in ,1mtr out SC/APC MICRO</t>
  </si>
  <si>
    <t>1:32,1mtr in ,1mtr out SC/APC MICRO</t>
  </si>
  <si>
    <t xml:space="preserve"> 1:16,1mtr in ,1mtr out SC/APC MICRO</t>
  </si>
  <si>
    <t>1:4,1mtr in ,1mtr out  SC/APC MICRO</t>
  </si>
  <si>
    <t xml:space="preserve"> 1:2,1mtr in ,1mtr out  SC/APC MICRO</t>
  </si>
  <si>
    <t>FTTH Outdoor Drop Cable 2-Core (2km)</t>
  </si>
  <si>
    <t>FTTH Outdoor Drop Cable 1-Core (2km)</t>
  </si>
  <si>
    <t>عدد  وأدوات-كفوف قطن</t>
  </si>
  <si>
    <t>Dahua 16-HDD Enterprise Video Storage</t>
  </si>
  <si>
    <t>مخزن سيرفر تخزين فيديو شبكي ضخم وفائق الأداء</t>
  </si>
  <si>
    <t xml:space="preserve">FIBER ADAPTOR SC/UPC </t>
  </si>
  <si>
    <t>Camera Bases / Mounts</t>
  </si>
  <si>
    <t>قاعدة تثبيت كاميرا خارجية</t>
  </si>
  <si>
    <t>CCTV Camera Lens &amp; Sensor Units</t>
  </si>
  <si>
    <t>كاميرات مخفية</t>
  </si>
  <si>
    <t>عدد  وأدوات-مفكات سداسية</t>
  </si>
  <si>
    <t>جرس كبائن الاتصالات الفنية</t>
  </si>
  <si>
    <t>Splice inclosure Type 1 85*36*33 CM</t>
  </si>
  <si>
    <t>الإجمالي</t>
  </si>
  <si>
    <t>وحدة إرسال واستقبال بصرية</t>
  </si>
  <si>
    <t>SFP Transceiver Module</t>
  </si>
  <si>
    <t>FIBER OPTIC PATCH CORDS</t>
  </si>
  <si>
    <t>عدد  وأدوات - مفك موجب</t>
  </si>
  <si>
    <t>عدد  وأدوات - مفك سالب</t>
  </si>
  <si>
    <t>علب توزيع كهربائية بلاستيكية</t>
  </si>
  <si>
    <t>مثبتات ومشابك معدنية - حبسة</t>
  </si>
  <si>
    <t>مثبتات ومشابك معدنية - حزامة</t>
  </si>
  <si>
    <t>صندوق ربط وتوزيع الشبكات الخارجية</t>
  </si>
  <si>
    <t>POE SWITCH DAHUA</t>
  </si>
  <si>
    <t>DS-2CE76K0T-LPFS</t>
  </si>
  <si>
    <t>DS-2CD1163G2-LIU</t>
  </si>
  <si>
    <t>DS-2CD1183G2-LIU</t>
  </si>
  <si>
    <t>DS-2CE76D0T-EXIPF</t>
  </si>
  <si>
    <t>DS-2CE76H0T-ITPFS</t>
  </si>
  <si>
    <t>DS-2CD1047G3-LIU</t>
  </si>
  <si>
    <t>DS-2CE17H0T-IT5F</t>
  </si>
  <si>
    <t>DS-2CE16K0T-EXLPF</t>
  </si>
  <si>
    <t>DS-2CD1063G2-LIU</t>
  </si>
  <si>
    <t>DS-2CD1083G2-LIU</t>
  </si>
  <si>
    <t>DS-2CD1T83G2-LIU</t>
  </si>
  <si>
    <t>DS-2CE16U1T-ITPF</t>
  </si>
  <si>
    <t>DS-2CE16H0T-ITPF</t>
  </si>
  <si>
    <t>DS-2CE16K0T-LFS</t>
  </si>
  <si>
    <t>DS-2CD1067G3-LIU/SRB</t>
  </si>
  <si>
    <t>DS-2CD1T63G2-LIU</t>
  </si>
  <si>
    <t>DS-2CD2T67G2P-LSU/SL</t>
  </si>
  <si>
    <t>HM-TD2628T-7/G1/T3A</t>
  </si>
  <si>
    <t>iDS-2CD7A86G2-IZHSY</t>
  </si>
  <si>
    <t>DS-2CD1347G3H-LIU/SL</t>
  </si>
  <si>
    <t>DS-2CFWQ5</t>
  </si>
  <si>
    <t>DS-7616NXI-K2(E)</t>
  </si>
  <si>
    <t>Hikvision Color Camera</t>
  </si>
  <si>
    <t>Hikvision Network Camera</t>
  </si>
  <si>
    <t>Hikvision Speed Dome</t>
  </si>
  <si>
    <t>DS-2DE7A825IW-AEB T5</t>
  </si>
  <si>
    <t>DS-2SE7C432MW-AEB 14F1 P3</t>
  </si>
  <si>
    <t>Hikvision Hikmicro Network Thermal Camera</t>
  </si>
  <si>
    <t>DS-7632NXI-K2(E)</t>
  </si>
  <si>
    <t>Hikvision Digital Video Recorder</t>
  </si>
  <si>
    <t>iDS-7204HQHI-M1/XT</t>
  </si>
  <si>
    <t>DS-7608NXI-K1/8P</t>
  </si>
  <si>
    <t>DS-7604NXI-K1/4P</t>
  </si>
  <si>
    <t>DS-7608NXI-K1</t>
  </si>
  <si>
    <t>iDS-7216HQHI-M1/XT</t>
  </si>
  <si>
    <t>iDS-7204HUHI-M1/XT</t>
  </si>
  <si>
    <t>iDS-7208HUHI-M1/XT</t>
  </si>
  <si>
    <t>iDS-7232HQHI-M2/XT</t>
  </si>
  <si>
    <t>iDS-7216HUHI-M2/XT</t>
  </si>
  <si>
    <t>DS-7616NXI-I2/16P/VPRO</t>
  </si>
  <si>
    <t>DS-7732NXI-K4(E)</t>
  </si>
  <si>
    <t>DS-3E1326P-EI</t>
  </si>
  <si>
    <t>Hikvision Ethernet Switch</t>
  </si>
  <si>
    <t>DS-3E1318P-EI</t>
  </si>
  <si>
    <t>DS-3E2528(B)</t>
  </si>
  <si>
    <t>DS-KIS604-P(C)</t>
  </si>
  <si>
    <t>Hikvision IP Video Intercom Kit</t>
  </si>
  <si>
    <t>Hikvision CAT6 PLUG</t>
  </si>
  <si>
    <t>DS-1M6AUA</t>
  </si>
  <si>
    <t>Hikvision DashCam</t>
  </si>
  <si>
    <t>AE-DI2032-G40</t>
  </si>
  <si>
    <t>Hikvision Access Control Accessory</t>
  </si>
  <si>
    <t>DS-KAB6-ZU1</t>
  </si>
  <si>
    <t>DS-7116HGHI-M1</t>
  </si>
  <si>
    <t>DS-7108HGHI-K1</t>
  </si>
  <si>
    <t>DS-7104HQHI-K1</t>
  </si>
  <si>
    <t>DS-7104HUHI-K1</t>
  </si>
  <si>
    <t>DS-3E0106P-E/M</t>
  </si>
  <si>
    <t>DS-3E1510P-EI</t>
  </si>
  <si>
    <t>DS-3E0109P-E/M(C)</t>
  </si>
  <si>
    <t>DS-KV8113-WME1(C)</t>
  </si>
  <si>
    <t>Hikvision Door Station</t>
  </si>
  <si>
    <t>DS-KD-K12</t>
  </si>
  <si>
    <t>Hikvision Multi-Nametag Module</t>
  </si>
  <si>
    <t>Hikvision Indicator Module</t>
  </si>
  <si>
    <t>DS-KD-IN</t>
  </si>
  <si>
    <t>Hikvision Module Door Station Accessories</t>
  </si>
  <si>
    <t>DS-KD-ACW3</t>
  </si>
  <si>
    <t>Hikvision IP Video Intercom Indoor Station</t>
  </si>
  <si>
    <t>DS-KH6350-WTE1 White</t>
  </si>
  <si>
    <t>DS-KH6350-WTE1</t>
  </si>
  <si>
    <t>Hikvision Network Video Recorder</t>
  </si>
  <si>
    <t>DS-9664NXI-I16R/VPRO</t>
  </si>
  <si>
    <t>DS-2XT6645G0-LIZS/C25</t>
  </si>
  <si>
    <t>iDS-9632NXI-M8/X</t>
  </si>
  <si>
    <t>Hikvision CCTV Cable</t>
  </si>
  <si>
    <t>DS-1LH1SCAR1742C</t>
  </si>
  <si>
    <t>Hikvision CAT6 BLUE</t>
  </si>
  <si>
    <t>DS-1LN6AFPSL4</t>
  </si>
  <si>
    <t>DS-1LN6U-G</t>
  </si>
  <si>
    <t>Hikvision CAT6 GRAY</t>
  </si>
  <si>
    <t>Hikvision CAT6A GRAY</t>
  </si>
  <si>
    <t>DS-1LN6AUUC0</t>
  </si>
  <si>
    <t>DS-1LN6OFPUPE</t>
  </si>
  <si>
    <t>Hikvision CAT6 BLACK</t>
  </si>
  <si>
    <t>Hikvision Bracket</t>
  </si>
  <si>
    <t>DS-1275ZJ/HWB</t>
  </si>
  <si>
    <t>DS-1292ZJ Q/PFW</t>
  </si>
  <si>
    <t>DS-1258ZJ</t>
  </si>
  <si>
    <t>DS-1280ZJ-DM18</t>
  </si>
  <si>
    <t>Hikvision Junction Box</t>
  </si>
  <si>
    <t>DS-1280ZJ-DM25</t>
  </si>
  <si>
    <t>DS-1278ZJ-HWB/HG/60-300</t>
  </si>
  <si>
    <t>Hikvision Vertical Pole Mount Bracket</t>
  </si>
  <si>
    <t>Hikvision Face Recognition Terminal</t>
  </si>
  <si>
    <t>DS-K1T341CMF</t>
  </si>
  <si>
    <t>DS-KAB34X-S1</t>
  </si>
  <si>
    <t>كاميرا شبكية Dome بدقة 6 ميجابكسل مع ميكروفون مدمج</t>
  </si>
  <si>
    <t>كاميرا داخلية بدقة 3K مع ميكروفون مدمج وإضاءة ذكية</t>
  </si>
  <si>
    <t>كاميرا شبكية Dome بدقة 8 ميجابكسل / 4K مع ميكروفون مدمج</t>
  </si>
  <si>
    <t>كاميرا داخلية بدقة 2 ميجابكسل وعدسة ثابتة</t>
  </si>
  <si>
    <t>كاميرا داخلية بدقة 5 ميجابكسل مع ميكروفون مدمج</t>
  </si>
  <si>
    <t>كاميرا شبكية Bullet بدقة 4 ميجابكسل مع تقنية الإضاءة الذكية</t>
  </si>
  <si>
    <t>كاميرا خارجية Bullet بدقة 5 ميجابكسل للمسافات البعيدة حتى 80 متر</t>
  </si>
  <si>
    <t>كاميرا خارجية Bullet بدقة 3K مع إضاءة ذكية</t>
  </si>
  <si>
    <t>كاميرا شبكية Bullet بدقة 6 ميجابكسل مع ميكروفون مدمج</t>
  </si>
  <si>
    <t>كاميرا شبكية Bullet بدقة 8 ميجابكسل / 4K مع ميكروفون مدمج</t>
  </si>
  <si>
    <t>كاميرا شبكية Bullet ضخمة للمسافات الطويلة بدقة 8 ميجابكسل</t>
  </si>
  <si>
    <t>كاميرا خارجية Bullet بدقة 8 ميجابكسل / 4K</t>
  </si>
  <si>
    <t>كاميرا خارجية Bullet بدقة 5 ميجابكسل</t>
  </si>
  <si>
    <t>كاميرا خارجية Bullet بدقة 3K مع صوت وإضاءة بيضاء مدمجة</t>
  </si>
  <si>
    <t>كاميرا شبكية ملونة 24 ساعة بدقة 6 ميجابكسل</t>
  </si>
  <si>
    <t>كاميرا شبكية Bullet للمسافات الطويلة بدقة 6 ميجابكسل</t>
  </si>
  <si>
    <t>كاميرا متحركة PTZ ذكية بدقة 8 ميجابكسل وزووم بصري 25x مع إنذار ضوئي وصوتي</t>
  </si>
  <si>
    <t>كاميرا متحركة بانورامية مزدوجة بدقة 4 ميجابكسل وزووم 32x</t>
  </si>
  <si>
    <t>كاميرا شبكية بانورامية مزدوجة العدسة بزاوية رؤية عريضة جداً وإنذار</t>
  </si>
  <si>
    <t>كاميرا حرارية شبكية مخصصة لقياس درجات الحرارة والوقاية من الحرائق</t>
  </si>
  <si>
    <t>كاميرا شبكية احترافية فائقة الذكاء بدقة 8 ميجابكسل للتعرف على اللوحات والوجه</t>
  </si>
  <si>
    <t>كاميرا شبكية بدقة 4 ميجابكسل مع إضاءة ذكية وفلاش إنذار</t>
  </si>
  <si>
    <t>كاميرا شبكية متطورة</t>
  </si>
  <si>
    <t>جهاز تسجيل شبكي NVR يدعم 16 قناة و ذكاء اصطناعي وهاردين</t>
  </si>
  <si>
    <t>جهاز تسجيل شبكي NVR يدعم 32 قناة وذكاء اصطناعي وهاردين</t>
  </si>
  <si>
    <t>جهاز تسجيل ذكي DVR يدعم 4 قنوات بدقة 1080p وهارد واحد</t>
  </si>
  <si>
    <t>جهاز تسجيل شبكي NVR يدعم 8 قنوات مع مخارج PoE مدمجة لتشغيل الكاميرات مباشرة</t>
  </si>
  <si>
    <t>جهاز تسجيل شبكي NVR يدعم 4 قنوات مع مخارج PoE مدمجة لتشغيل الكاميرات مباشرة</t>
  </si>
  <si>
    <t>جهاز تسجيل شبكي NVR يدعم 8 قنوات وهارد واحد مع ميزات ذكية</t>
  </si>
  <si>
    <t>جهاز تسجيل ذكي DVR يدعم 16 قناة بدقة 1080p وهارد واحد</t>
  </si>
  <si>
    <t>جهاز تسجيل ذكي DVR يدعم 4 قنوات بدقة 5 ميجابكسل وهارد واحد</t>
  </si>
  <si>
    <t>جهاز تسجيل ذكي DVR يدعم 8 قنوات بدقة 5 ميجابكسل وهارد واحد</t>
  </si>
  <si>
    <t>جهاز تسجيل ذكي DVR يدعم 32 قناة بدقة 1080p وهاردين</t>
  </si>
  <si>
    <t>جهاز تسجيل ذكي DVR يدعم 16 قناة بدقة 5 ميجابكسل وهاردين</t>
  </si>
  <si>
    <t>جهاز تسجيل شبكي احترافي 16 قناة مع مخارج PoE وتقنيات VPRO المتطورة</t>
  </si>
  <si>
    <t>جهاز تسجيل شبكي ضخم NVR يدعم 32 قناة و4 هاردات للتخزين الطويل</t>
  </si>
  <si>
    <t>سويتش شبكة ذكي مٌدار يحتوي على 24 مخرج PoE لتشغيل الكاميرات</t>
  </si>
  <si>
    <t>سويتش شبكة ذكي مٌدار يحتوي على 16 مخرج PoE لتشغيل الكاميرات</t>
  </si>
  <si>
    <t>سويتش شبكة احترافي متطور من الطبقة الثانية L2 يحتوي على 24 مخرج جيجابت</t>
  </si>
  <si>
    <t>مجموعة انتركم مرئي IP كاملة مخصصة للفيلات والبيوت المستقلة</t>
  </si>
  <si>
    <t>أطراف توصيل RJ45 احترافية لكابلات الشبكة CAT6</t>
  </si>
  <si>
    <t>كاميرا مراقبة صغيرة مخصصة للسيارات لتسجيل الرحلات</t>
  </si>
  <si>
    <t>اكسسوار/ملحق مخصص لأنظمة التحكم بالأبواب والدخول</t>
  </si>
  <si>
    <t>جهاز تسجيل DVR اقتصادي يدعم 16 قناة وهارد واحد</t>
  </si>
  <si>
    <t>جهاز تسجيل DVR اقتصادي يدعم 8 قنوات</t>
  </si>
  <si>
    <t>جهاز تسجيل DVR اقتصادي يدعم 4 قنوات بدقة 1080p</t>
  </si>
  <si>
    <t>جهاز تسجيل DVR اقتصادي يدعم 4 قنوات بدقة 5 ميجابكسل</t>
  </si>
  <si>
    <t>سويتش شبكة صغير غير مٌدار يحتوي على 4 مخارج PoE ومخرجين عاديين</t>
  </si>
  <si>
    <t>سويتش شبكة ذكي يحتوي على 8 مخارج جيجابت PoE ومخرجين فايبر SFP</t>
  </si>
  <si>
    <t>سويتش شبكة غير مٌدار يحتوي على 8 مخارج PoE ومخرج عادي</t>
  </si>
  <si>
    <t>محطة الانتركم الخارجية جرس بمدخل واحد وزر ضغط ومقاومة للصدمات والماء</t>
  </si>
  <si>
    <t>لوحة أزرار إضافية للانتركم تتيح كتابة أسماء متعددة لطلب الشقق</t>
  </si>
  <si>
    <t>لوحة مؤشرات ضوئية توضح حالة الانتركم مثل: يتصل، يتحدث، الباب مفتوح</t>
  </si>
  <si>
    <t>إطار معدني جداري خارجي يتسع لتركيب 3 وحدات انتركم بجانب بعضها</t>
  </si>
  <si>
    <t>شاشة انتركم داخلية ملونة تعمل باللمس وتدعم الواي فاي - لون أبيض</t>
  </si>
  <si>
    <t>شاشة انتركم داخلية ملونة تعمل باللمس وتدعم الواي فاي - اللون القياسي</t>
  </si>
  <si>
    <t>جهاز تسجيل شبكي NVR عملاق للمشاريع الضخمة، يدعم 64 قناة و 16 هارد</t>
  </si>
  <si>
    <t>كاميرا شبكية مخصصة للبيئات القاسية جداً ومقاومة للتآكل</t>
  </si>
  <si>
    <t>جهاز تسجيل شبكي فائق الذكاء NVR يدعم 32 قناة و 8 هاردات مع تحليل متطور للبيانات</t>
  </si>
  <si>
    <t>كابل توصيل مخصص لنظم كاميرات المراقبة</t>
  </si>
  <si>
    <t>كابل شبكة CAT6 عالي الجودة متوفر باللون الأزرق</t>
  </si>
  <si>
    <t>كابل شبكة CAT6 داخلي غير محمي متوفر باللون الرمادي</t>
  </si>
  <si>
    <t>كابل شبكة CAT6A متطور لنقل البيانات بسرعات فائقة باللون الرمادي</t>
  </si>
  <si>
    <t>كابل شبكة CAT6 خارجي معزول ومقاوم للشمس والرطوبة باللون الأسود</t>
  </si>
  <si>
    <t>حامل لتثبيت الكاميرات على الأعمدة الدائرية</t>
  </si>
  <si>
    <t>حامل جداري طويل مخصص لكاميرات Bullet الضخمة</t>
  </si>
  <si>
    <t>حامل جداري بلاستيكي خفيف لكاميرات Dome الصغيرة - الذي ظهر في أول صورة أرسلتها</t>
  </si>
  <si>
    <t>علبة توزيع وربط دائرية لحماية كابلات كاميرات الـ Dome - التي ظهرت في ثاني صورة</t>
  </si>
  <si>
    <t>علبة توزيع وربط دائرية بحجم أكبر مخصصة لكاميرات Fisheye البانورامية - التي ظهرت في ثالث صورة</t>
  </si>
  <si>
    <t>حامل فولاذي ذو أطواق مخصص لأنظمة ورادارات المرور على الأعمدة - التي ظهرت في رابع صورة</t>
  </si>
  <si>
    <t>جهاز بصمة وجه وإصبع وكارت متطور للتحكم بالدخول وتسجيل الحضور والانصراف</t>
  </si>
  <si>
    <t>قاعدة تثبيت معدنية مخصصة لوضع أجهزة بصمة الوجه على المكاتب أو الطاولات</t>
  </si>
  <si>
    <t>راوتر منزلي ثابت</t>
  </si>
  <si>
    <t>STC WIFI Router</t>
  </si>
  <si>
    <t>A50E</t>
  </si>
  <si>
    <t>ميزة الاتصال اللاسلكي</t>
  </si>
  <si>
    <t>WIFI&amp;Bloetooth Built in Hardware Option</t>
  </si>
  <si>
    <t>E10WIFIBLUE</t>
  </si>
  <si>
    <t>جهاز فحص الألياف الضوئية الذكي</t>
  </si>
  <si>
    <t>SmartOTDR Handheld Fiber Tester</t>
  </si>
  <si>
    <t>E138FA65-APC</t>
  </si>
  <si>
    <t>برمجية الفحص الذكي الذاتي</t>
  </si>
  <si>
    <t>SmartTest Automated</t>
  </si>
  <si>
    <t>ESMARTREST-100</t>
  </si>
  <si>
    <t>اللوحة الخارجية للجهاز المصممة بدون منفذ ليزر</t>
  </si>
  <si>
    <t>SmartOTDR Protection</t>
  </si>
  <si>
    <t>E10NOVFL</t>
  </si>
  <si>
    <t>أجهزة فحص الفايبر-ماكينة لحام</t>
  </si>
  <si>
    <t>كاميرا رياضية</t>
  </si>
  <si>
    <t>Action Camera</t>
  </si>
  <si>
    <t>GoPRO HERO13 Black</t>
  </si>
  <si>
    <t>Power meter viavi Used FI-60</t>
  </si>
  <si>
    <t>Power meter viavi Used OLP-35</t>
  </si>
  <si>
    <t>قاطع ألياف ضوئية عالي الدقة</t>
  </si>
  <si>
    <t>FC-6S</t>
  </si>
  <si>
    <t>عدد  وأدوات - آلة نقش شريط معدني يدوية</t>
  </si>
  <si>
    <t>Fiber Cleaver</t>
  </si>
  <si>
    <t>Jumper Cable Din Male- Din Male Right Angle 5m</t>
  </si>
  <si>
    <t>راوتر 5G صناعي</t>
  </si>
  <si>
    <t>Industrial 5G Router</t>
  </si>
  <si>
    <t>WL-G535-NQ</t>
  </si>
  <si>
    <t>كبل اتصالات محورية</t>
  </si>
  <si>
    <t>كبل شبكة قصير CAT6</t>
  </si>
  <si>
    <t>Hikvision CAT6 PATCH CORD</t>
  </si>
  <si>
    <t>DS-1NP6UEC0</t>
  </si>
  <si>
    <t>كبل شبكة قصير CAT6A</t>
  </si>
  <si>
    <t>Hikvision CAT6A PATCH CORD</t>
  </si>
  <si>
    <t>DS-1NP6ADL0</t>
  </si>
  <si>
    <t>DS-1NP6AEL0</t>
  </si>
  <si>
    <t>الاسم</t>
  </si>
  <si>
    <t>جهاز تسجيل رقمي (DVR) ذكي بـ 4 قنوات</t>
  </si>
  <si>
    <t>IDS-7204HQHI-M1</t>
  </si>
  <si>
    <t>كاميرا خارجية بدقة  (8MP) مع عدسة متحركة وإنذار ضوئي وصوتي</t>
  </si>
  <si>
    <t>Hikvision Network Bullet Camera</t>
  </si>
  <si>
    <t>DS-2CD2687G3-LIZS2UY/SRB</t>
  </si>
  <si>
    <t>كاميرا خارجية بدقة 6MP مع عدسة متحركة وإنذار ضوئي وصوتي</t>
  </si>
  <si>
    <t>DS-2CD2667G3-LIZS2UY/SRB</t>
  </si>
  <si>
    <t>متر</t>
  </si>
  <si>
    <t>2-Core Fiber Optic Cable</t>
  </si>
  <si>
    <t>12-Core Fiber Optic Cable</t>
  </si>
  <si>
    <t>144-Core Fiber Optic Cable</t>
  </si>
  <si>
    <t>288-Core Fiber Optic Cable</t>
  </si>
  <si>
    <t>نقل إلى المعرض</t>
  </si>
  <si>
    <t>GYTA-96B1.3</t>
  </si>
  <si>
    <t>GYTA-48B1.3</t>
  </si>
  <si>
    <t>Honeywell OmniProx Mini-Mullion Proximity Card Reader OP10HONS</t>
  </si>
  <si>
    <t>VCT-999 (A210128144083X)</t>
  </si>
  <si>
    <t>جهاز فحص وتحليل الألياف الضوئية الذكي المحمول (ثلاثي الموجات 1310/1550nm و1650nm المفلترة) مع ميزات الاتصال اللاسلكي وتحديد الأعطال البصرية</t>
  </si>
  <si>
    <t>VIAVI Handheld SmartOTDR Fiber Tester</t>
  </si>
  <si>
    <t>نقل إلى المعرض2+ 1 إلى دمشق</t>
  </si>
  <si>
    <t>أجور الشحن للقطعة الواحدة</t>
  </si>
  <si>
    <t>إجمالي تكلفة القطعة الواحدة</t>
  </si>
  <si>
    <t>إفرادي القطعة الواحدة</t>
  </si>
  <si>
    <t>الإجمالي 
بعد المصاريف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</si>
</sst>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rial"/>
      <family val="2"/>
      <scheme val="minor"/>
    </font>
    <font>
      <sz val="14"/>
      <color theme="0"/>
      <name val="Andalus"/>
      <family val="1"/>
    </font>
    <font>
      <sz val="16"/>
      <color rgb="FF000000"/>
      <name val="Andalus"/>
      <family val="1"/>
    </font>
    <font>
      <sz val="14"/>
      <color theme="1"/>
      <name val="Arial"/>
      <family val="2"/>
      <scheme val="minor"/>
    </font>
    <font>
      <sz val="26"/>
      <color rgb="FF000000"/>
      <name val="Calibri"/>
      <family val="2"/>
    </font>
    <font>
      <b/>
      <sz val="22"/>
      <color theme="1"/>
      <name val="Calibri"/>
      <family val="2"/>
      <charset val="178"/>
    </font>
    <font>
      <b/>
      <sz val="22"/>
      <color theme="1"/>
      <name val="Arial"/>
      <family val="2"/>
      <charset val="178"/>
      <scheme val="minor"/>
    </font>
    <font>
      <sz val="36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24"/>
      <name val="Calibri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49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14" fontId="5" fillId="0" borderId="12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/>
      <protection locked="0"/>
    </xf>
    <xf numFmtId="14" fontId="5" fillId="0" borderId="11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49" fontId="7" fillId="0" borderId="9" xfId="0" applyNumberFormat="1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49" fontId="8" fillId="0" borderId="12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49" fontId="8" fillId="0" borderId="14" xfId="0" applyNumberFormat="1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</cellXfs>
  <cellStyles count="1">
    <cellStyle name="عادي" xfId="0" builtinId="0"/>
  </cellStyles>
  <dxfs count="47">
    <dxf>
      <fill>
        <patternFill>
          <bgColor rgb="FFFFC000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charset val="178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charset val="178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fill>
        <patternFill patternType="none">
          <fgColor rgb="FF000000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rgb="FF00000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36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color theme="4" tint="0.59996337778862885"/>
      </font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ont>
        <b val="0"/>
        <i val="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4" tint="0.59996337778862885"/>
      </font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ont>
        <b val="0"/>
        <i val="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4" tint="0.59996337778862885"/>
      </font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ont>
        <b val="0"/>
        <i val="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4" tint="0.59996337778862885"/>
      </font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ont>
        <b val="0"/>
        <i val="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4" tint="0.59996337778862885"/>
      </font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ont>
        <b val="0"/>
        <i val="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patternFill patternType="none">
          <bgColor auto="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</dxfs>
  <tableStyles count="6" defaultTableStyle="TableStyleMedium2" defaultPivotStyle="PivotStyleMedium9">
    <tableStyle name="نمط الجدول 1" pivot="0" count="4" xr9:uid="{00000000-0011-0000-FFFF-FFFF00000000}">
      <tableStyleElement type="wholeTable" dxfId="46"/>
      <tableStyleElement type="headerRow" dxfId="45"/>
      <tableStyleElement type="firstRowStripe" dxfId="44"/>
      <tableStyleElement type="secondRowStripe" dxfId="43"/>
    </tableStyle>
    <tableStyle name="نمط الجدول 2" pivot="0" count="2" xr9:uid="{00000000-0011-0000-FFFF-FFFF01000000}">
      <tableStyleElement type="wholeTable" dxfId="42"/>
      <tableStyleElement type="firstRowStripe" dxfId="41"/>
    </tableStyle>
    <tableStyle name="نمط الجدول 2 2" pivot="0" count="2" xr9:uid="{00000000-0011-0000-FFFF-FFFF02000000}">
      <tableStyleElement type="wholeTable" dxfId="40"/>
      <tableStyleElement type="firstRowStripe" dxfId="39"/>
    </tableStyle>
    <tableStyle name="نمط الجدول 2 3" pivot="0" count="2" xr9:uid="{00000000-0011-0000-FFFF-FFFF03000000}">
      <tableStyleElement type="wholeTable" dxfId="38"/>
      <tableStyleElement type="firstRowStripe" dxfId="37"/>
    </tableStyle>
    <tableStyle name="نمط الجدول 2 4" pivot="0" count="2" xr9:uid="{00000000-0011-0000-FFFF-FFFF04000000}">
      <tableStyleElement type="wholeTable" dxfId="36"/>
      <tableStyleElement type="firstRowStripe" dxfId="35"/>
    </tableStyle>
    <tableStyle name="نمط الجدول 2 5" pivot="0" count="2" xr9:uid="{00000000-0011-0000-FFFF-FFFF05000000}">
      <tableStyleElement type="wholeTable" dxfId="34"/>
      <tableStyleElement type="first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الجدول4" displayName="الجدول4" ref="B2:F766" totalsRowShown="0" headerRowDxfId="7" dataDxfId="6">
  <autoFilter ref="B2:F766" xr:uid="{00000000-0009-0000-0100-000004000000}"/>
  <tableColumns count="5">
    <tableColumn id="5" xr3:uid="{EC5955FC-8BCE-48E2-AE67-3416695BD539}" name="الاسم" dataDxfId="5"/>
    <tableColumn id="3" xr3:uid="{00000000-0010-0000-0000-000003000000}" name="النوع" dataDxfId="4"/>
    <tableColumn id="1" xr3:uid="{00000000-0010-0000-0000-000001000000}" name="الموديل" dataDxfId="3"/>
    <tableColumn id="4" xr3:uid="{5A2D6013-F949-4A4C-8662-C17891B06BB1}" name="الإجمالي" dataDxfId="2">
      <calculatedColumnFormula>SUMIF(الجدول336112[الموديل],D3,الجدول336112[العدد])</calculatedColumnFormula>
    </tableColumn>
    <tableColumn id="2" xr3:uid="{00000000-0010-0000-0000-000002000000}" name="ملاحظات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CEA31-B526-40BE-8A72-B74250D0D390}" name="الجدول336112" displayName="الجدول336112" ref="B7:P386" totalsRowShown="0" headerRowDxfId="32" dataDxfId="30" totalsRowDxfId="28" headerRowBorderDxfId="31" tableBorderDxfId="29" totalsRowBorderDxfId="27">
  <autoFilter ref="B7:P386" xr:uid="{00000000-0009-0000-0100-000002000000}"/>
  <tableColumns count="15">
    <tableColumn id="2" xr3:uid="{51257498-29F5-49CF-9BCD-E01707ABB214}" name="م" dataDxfId="26" totalsRowDxfId="25">
      <calculatedColumnFormula>IF(الجدول336112[[#This Row],[اسم المسلّم]]="","",ROW()-8)</calculatedColumnFormula>
    </tableColumn>
    <tableColumn id="5" xr3:uid="{8B46870D-67BA-48F5-ABE5-CC88C3EA3707}" name="اسم المسلّم" dataDxfId="24"/>
    <tableColumn id="3" xr3:uid="{37F7CB60-4E2A-4567-92D3-A887C096110C}" name=" البيان" dataDxfId="23"/>
    <tableColumn id="6" xr3:uid="{ED2D59CB-4989-422B-838A-5FE77921E8B0}" name="النوع" dataDxfId="22"/>
    <tableColumn id="7" xr3:uid="{5DD3AEAE-CBAE-496A-A110-5576CCB22D20}" name="الموديل" dataDxfId="21"/>
    <tableColumn id="4" xr3:uid="{57A87EB0-B789-4C11-A14B-9EFDDD410591}" name="الوحدة" dataDxfId="20"/>
    <tableColumn id="8" xr3:uid="{8DF48276-B420-42D6-8FC6-09B61368F871}" name="العدد" dataDxfId="19" totalsRowDxfId="18"/>
    <tableColumn id="11" xr3:uid="{37242933-B498-46AE-BF99-88587198F215}" name="إفرادي القطعة الواحدة" dataDxfId="17" totalsRowDxfId="16"/>
    <tableColumn id="14" xr3:uid="{3EBE59EB-E642-40F5-8E8B-75B63E11987F}" name="أجور الشحن للقطعة الواحدة" dataDxfId="15">
      <calculatedColumnFormula>الجدول336112[[#This Row],[إفرادي القطعة الواحدة]]*0.2397184</calculatedColumnFormula>
    </tableColumn>
    <tableColumn id="15" xr3:uid="{8B303424-D241-4F98-BDE2-043B4017CDE2}" name="إجمالي تكلفة القطعة الواحدة" dataDxfId="14">
      <calculatedColumnFormula>الجدول336112[[#This Row],[إفرادي القطعة الواحدة]]+الجدول336112[[#This Row],[أجور الشحن للقطعة الواحدة]]</calculatedColumnFormula>
    </tableColumn>
    <tableColumn id="13" xr3:uid="{056410F8-E3CD-49F9-A85D-ED1C1623A45F}" name="الإجمالي _x000a_بعد المصاريف" dataDxfId="13">
      <calculatedColumnFormula>الجدول336112[[#This Row],[العدد]]*الجدول336112[[#This Row],[إجمالي تكلفة القطعة الواحدة]]</calculatedColumnFormula>
    </tableColumn>
    <tableColumn id="1" xr3:uid="{CF5884C5-CAC3-46BA-B069-7CAF8C6F3432}" name="الحالة الفنية" dataDxfId="12"/>
    <tableColumn id="12" xr3:uid="{2899AE8E-DC63-4F94-8CEF-75BFB09F0A6B}" name="رقم الطبلية" dataDxfId="11"/>
    <tableColumn id="10" xr3:uid="{D7583CDB-0619-45DE-AF43-9B3F5D3C28F7}" name="تاريخ الإستلام" dataDxfId="10"/>
    <tableColumn id="9" xr3:uid="{122DB859-84EB-4C9F-8D37-E8DC4390546E}" name="ملاحظات" dataDxfId="9" totalsRowDxfId="8"/>
  </tableColumns>
  <tableStyleInfo name="نمط الجدول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66"/>
  <sheetViews>
    <sheetView rightToLeft="1" topLeftCell="A373" zoomScale="110" zoomScaleNormal="110" workbookViewId="0">
      <selection activeCell="D390" sqref="D390"/>
    </sheetView>
  </sheetViews>
  <sheetFormatPr defaultColWidth="8.75" defaultRowHeight="14.25" x14ac:dyDescent="0.2"/>
  <cols>
    <col min="1" max="1" width="8.75" style="1"/>
    <col min="2" max="2" width="29.5" style="1" bestFit="1" customWidth="1"/>
    <col min="3" max="3" width="36.75" style="1" bestFit="1" customWidth="1"/>
    <col min="4" max="4" width="80.875" style="1" bestFit="1" customWidth="1"/>
    <col min="5" max="6" width="18.375" style="1" bestFit="1" customWidth="1"/>
    <col min="7" max="16384" width="8.75" style="1"/>
  </cols>
  <sheetData>
    <row r="2" spans="2:6" x14ac:dyDescent="0.2">
      <c r="B2" s="1" t="s">
        <v>735</v>
      </c>
      <c r="C2" s="1" t="s">
        <v>7</v>
      </c>
      <c r="D2" s="1" t="s">
        <v>6</v>
      </c>
      <c r="E2" s="1" t="s">
        <v>518</v>
      </c>
      <c r="F2" s="1" t="s">
        <v>0</v>
      </c>
    </row>
    <row r="3" spans="2:6" x14ac:dyDescent="0.2">
      <c r="B3" s="1" t="s">
        <v>340</v>
      </c>
      <c r="C3" s="1" t="s">
        <v>348</v>
      </c>
      <c r="D3" s="1" t="s">
        <v>15</v>
      </c>
      <c r="E3" s="1">
        <f>SUMIF(الجدول336112[الموديل],D3,الجدول336112[العدد])</f>
        <v>29</v>
      </c>
    </row>
    <row r="4" spans="2:6" x14ac:dyDescent="0.2">
      <c r="B4" s="1" t="s">
        <v>340</v>
      </c>
      <c r="C4" s="1" t="s">
        <v>348</v>
      </c>
      <c r="D4" s="1" t="s">
        <v>22</v>
      </c>
      <c r="E4" s="1">
        <f>SUMIF(الجدول336112[الموديل],D4,الجدول336112[العدد])</f>
        <v>4</v>
      </c>
    </row>
    <row r="5" spans="2:6" x14ac:dyDescent="0.2">
      <c r="B5" s="1" t="s">
        <v>340</v>
      </c>
      <c r="C5" s="1" t="s">
        <v>348</v>
      </c>
      <c r="D5" s="1" t="s">
        <v>24</v>
      </c>
      <c r="E5" s="1">
        <f>SUMIF(الجدول336112[الموديل],D5,الجدول336112[العدد])</f>
        <v>4</v>
      </c>
    </row>
    <row r="6" spans="2:6" x14ac:dyDescent="0.2">
      <c r="B6" s="1" t="s">
        <v>340</v>
      </c>
      <c r="C6" s="1" t="s">
        <v>348</v>
      </c>
      <c r="D6" s="1" t="s">
        <v>33</v>
      </c>
      <c r="E6" s="1">
        <f>SUMIF(الجدول336112[الموديل],D6,الجدول336112[العدد])</f>
        <v>0</v>
      </c>
    </row>
    <row r="7" spans="2:6" x14ac:dyDescent="0.2">
      <c r="B7" s="1" t="s">
        <v>340</v>
      </c>
      <c r="C7" s="1" t="s">
        <v>339</v>
      </c>
      <c r="D7" s="1" t="s">
        <v>46</v>
      </c>
      <c r="E7" s="1">
        <f>SUMIF(الجدول336112[الموديل],D7,الجدول336112[العدد])</f>
        <v>7</v>
      </c>
    </row>
    <row r="8" spans="2:6" x14ac:dyDescent="0.2">
      <c r="B8" s="1" t="s">
        <v>340</v>
      </c>
      <c r="C8" s="1" t="s">
        <v>339</v>
      </c>
      <c r="D8" s="1" t="s">
        <v>47</v>
      </c>
      <c r="E8" s="1">
        <f>SUMIF(الجدول336112[الموديل],D8,الجدول336112[العدد])</f>
        <v>9</v>
      </c>
    </row>
    <row r="9" spans="2:6" x14ac:dyDescent="0.2">
      <c r="B9" s="1" t="s">
        <v>340</v>
      </c>
      <c r="C9" s="1" t="s">
        <v>339</v>
      </c>
      <c r="D9" s="1" t="s">
        <v>48</v>
      </c>
      <c r="E9" s="1">
        <f>SUMIF(الجدول336112[الموديل],D9,الجدول336112[العدد])</f>
        <v>8</v>
      </c>
    </row>
    <row r="10" spans="2:6" x14ac:dyDescent="0.2">
      <c r="B10" s="1" t="s">
        <v>649</v>
      </c>
      <c r="C10" s="1" t="s">
        <v>600</v>
      </c>
      <c r="D10" s="1" t="s">
        <v>550</v>
      </c>
      <c r="E10" s="1">
        <f>SUMIF(الجدول336112[الموديل],D10,الجدول336112[العدد])</f>
        <v>0</v>
      </c>
    </row>
    <row r="11" spans="2:6" x14ac:dyDescent="0.2">
      <c r="B11" s="1" t="s">
        <v>650</v>
      </c>
      <c r="C11" s="1" t="s">
        <v>600</v>
      </c>
      <c r="D11" s="1" t="s">
        <v>557</v>
      </c>
      <c r="E11" s="1">
        <f>SUMIF(الجدول336112[الموديل],D11,الجدول336112[العدد])</f>
        <v>0</v>
      </c>
    </row>
    <row r="12" spans="2:6" x14ac:dyDescent="0.2">
      <c r="B12" s="1" t="s">
        <v>652</v>
      </c>
      <c r="C12" s="1" t="s">
        <v>600</v>
      </c>
      <c r="D12" s="1" t="s">
        <v>560</v>
      </c>
      <c r="E12" s="1">
        <f>SUMIF(الجدول336112[الموديل],D12,الجدول336112[العدد])</f>
        <v>0</v>
      </c>
    </row>
    <row r="13" spans="2:6" x14ac:dyDescent="0.2">
      <c r="B13" s="1" t="s">
        <v>653</v>
      </c>
      <c r="C13" s="1" t="s">
        <v>600</v>
      </c>
      <c r="D13" s="1" t="s">
        <v>561</v>
      </c>
      <c r="E13" s="1">
        <f>SUMIF(الجدول336112[الموديل],D13,الجدول336112[العدد])</f>
        <v>0</v>
      </c>
    </row>
    <row r="14" spans="2:6" x14ac:dyDescent="0.2">
      <c r="B14" s="1" t="s">
        <v>654</v>
      </c>
      <c r="C14" s="1" t="s">
        <v>600</v>
      </c>
      <c r="D14" s="1" t="s">
        <v>562</v>
      </c>
      <c r="E14" s="1">
        <f>SUMIF(الجدول336112[الموديل],D14,الجدول336112[العدد])</f>
        <v>0</v>
      </c>
    </row>
    <row r="15" spans="2:6" x14ac:dyDescent="0.2">
      <c r="B15" s="1" t="s">
        <v>660</v>
      </c>
      <c r="C15" s="1" t="s">
        <v>600</v>
      </c>
      <c r="D15" s="1" t="s">
        <v>568</v>
      </c>
      <c r="E15" s="1">
        <f>SUMIF(الجدول336112[الموديل],D15,الجدول336112[العدد])</f>
        <v>0</v>
      </c>
    </row>
    <row r="16" spans="2:6" x14ac:dyDescent="0.2">
      <c r="B16" s="1" t="s">
        <v>661</v>
      </c>
      <c r="C16" s="1" t="s">
        <v>600</v>
      </c>
      <c r="D16" s="1" t="s">
        <v>569</v>
      </c>
      <c r="E16" s="1">
        <f>SUMIF(الجدول336112[الموديل],D16,الجدول336112[العدد])</f>
        <v>0</v>
      </c>
    </row>
    <row r="17" spans="2:5" x14ac:dyDescent="0.2">
      <c r="B17" s="1" t="s">
        <v>682</v>
      </c>
      <c r="C17" s="1" t="s">
        <v>600</v>
      </c>
      <c r="D17" s="1" t="s">
        <v>601</v>
      </c>
      <c r="E17" s="1">
        <f>SUMIF(الجدول336112[الموديل],D17,الجدول336112[العدد])</f>
        <v>0</v>
      </c>
    </row>
    <row r="18" spans="2:5" x14ac:dyDescent="0.2">
      <c r="B18" s="1" t="s">
        <v>684</v>
      </c>
      <c r="C18" s="1" t="s">
        <v>600</v>
      </c>
      <c r="D18" s="1" t="s">
        <v>603</v>
      </c>
      <c r="E18" s="1">
        <f>SUMIF(الجدول336112[الموديل],D18,الجدول336112[العدد])</f>
        <v>0</v>
      </c>
    </row>
    <row r="19" spans="2:5" x14ac:dyDescent="0.2">
      <c r="B19" s="1" t="s">
        <v>651</v>
      </c>
      <c r="C19" s="1" t="s">
        <v>558</v>
      </c>
      <c r="D19" s="1" t="s">
        <v>559</v>
      </c>
      <c r="E19" s="1">
        <f>SUMIF(الجدول336112[الموديل],D19,الجدول336112[العدد])</f>
        <v>0</v>
      </c>
    </row>
    <row r="20" spans="2:5" x14ac:dyDescent="0.2">
      <c r="B20" s="1" t="s">
        <v>655</v>
      </c>
      <c r="C20" s="1" t="s">
        <v>558</v>
      </c>
      <c r="D20" s="1" t="s">
        <v>563</v>
      </c>
      <c r="E20" s="1">
        <f>SUMIF(الجدول336112[الموديل],D20,الجدول336112[العدد])</f>
        <v>0</v>
      </c>
    </row>
    <row r="21" spans="2:5" x14ac:dyDescent="0.2">
      <c r="B21" s="1" t="s">
        <v>656</v>
      </c>
      <c r="C21" s="1" t="s">
        <v>558</v>
      </c>
      <c r="D21" s="1" t="s">
        <v>564</v>
      </c>
      <c r="E21" s="1">
        <f>SUMIF(الجدول336112[الموديل],D21,الجدول336112[العدد])</f>
        <v>0</v>
      </c>
    </row>
    <row r="22" spans="2:5" x14ac:dyDescent="0.2">
      <c r="B22" s="1" t="s">
        <v>657</v>
      </c>
      <c r="C22" s="1" t="s">
        <v>558</v>
      </c>
      <c r="D22" s="1" t="s">
        <v>565</v>
      </c>
      <c r="E22" s="1">
        <f>SUMIF(الجدول336112[الموديل],D22,الجدول336112[العدد])</f>
        <v>0</v>
      </c>
    </row>
    <row r="23" spans="2:5" x14ac:dyDescent="0.2">
      <c r="B23" s="1" t="s">
        <v>658</v>
      </c>
      <c r="C23" s="1" t="s">
        <v>558</v>
      </c>
      <c r="D23" s="1" t="s">
        <v>566</v>
      </c>
      <c r="E23" s="1">
        <f>SUMIF(الجدول336112[الموديل],D23,الجدول336112[العدد])</f>
        <v>0</v>
      </c>
    </row>
    <row r="24" spans="2:5" x14ac:dyDescent="0.2">
      <c r="B24" s="1" t="s">
        <v>659</v>
      </c>
      <c r="C24" s="1" t="s">
        <v>558</v>
      </c>
      <c r="D24" s="1" t="s">
        <v>567</v>
      </c>
      <c r="E24" s="1">
        <f>SUMIF(الجدول336112[الموديل],D24,الجدول336112[العدد])</f>
        <v>0</v>
      </c>
    </row>
    <row r="25" spans="2:5" x14ac:dyDescent="0.2">
      <c r="B25" s="1" t="s">
        <v>669</v>
      </c>
      <c r="C25" s="1" t="s">
        <v>558</v>
      </c>
      <c r="D25" s="1" t="s">
        <v>582</v>
      </c>
      <c r="E25" s="1">
        <f>SUMIF(الجدول336112[الموديل],D25,الجدول336112[العدد])</f>
        <v>0</v>
      </c>
    </row>
    <row r="26" spans="2:5" x14ac:dyDescent="0.2">
      <c r="B26" s="1" t="s">
        <v>670</v>
      </c>
      <c r="C26" s="1" t="s">
        <v>558</v>
      </c>
      <c r="D26" s="1" t="s">
        <v>583</v>
      </c>
      <c r="E26" s="1">
        <f>SUMIF(الجدول336112[الموديل],D26,الجدول336112[العدد])</f>
        <v>0</v>
      </c>
    </row>
    <row r="27" spans="2:5" x14ac:dyDescent="0.2">
      <c r="B27" s="1" t="s">
        <v>671</v>
      </c>
      <c r="C27" s="1" t="s">
        <v>558</v>
      </c>
      <c r="D27" s="1" t="s">
        <v>584</v>
      </c>
      <c r="E27" s="1">
        <f>SUMIF(الجدول336112[الموديل],D27,الجدول336112[العدد])</f>
        <v>0</v>
      </c>
    </row>
    <row r="28" spans="2:5" x14ac:dyDescent="0.2">
      <c r="B28" s="1" t="s">
        <v>672</v>
      </c>
      <c r="C28" s="1" t="s">
        <v>558</v>
      </c>
      <c r="D28" s="1" t="s">
        <v>585</v>
      </c>
      <c r="E28" s="1">
        <f>SUMIF(الجدول336112[الموديل],D28,الجدول336112[العدد])</f>
        <v>0</v>
      </c>
    </row>
    <row r="29" spans="2:5" x14ac:dyDescent="0.2">
      <c r="B29" s="1" t="s">
        <v>509</v>
      </c>
      <c r="C29" s="1" t="s">
        <v>508</v>
      </c>
      <c r="D29" s="1" t="s">
        <v>20</v>
      </c>
      <c r="E29" s="1">
        <f>SUMIF(الجدول336112[الموديل],D29,الجدول336112[العدد])</f>
        <v>1</v>
      </c>
    </row>
    <row r="30" spans="2:5" x14ac:dyDescent="0.2">
      <c r="B30" s="1" t="s">
        <v>391</v>
      </c>
      <c r="C30" s="1" t="s">
        <v>382</v>
      </c>
      <c r="D30" s="1" t="s">
        <v>14</v>
      </c>
      <c r="E30" s="1">
        <f>SUMIF(الجدول336112[الموديل],D30,الجدول336112[العدد])</f>
        <v>8</v>
      </c>
    </row>
    <row r="31" spans="2:5" x14ac:dyDescent="0.2">
      <c r="B31" s="1" t="s">
        <v>386</v>
      </c>
      <c r="C31" s="1" t="s">
        <v>382</v>
      </c>
      <c r="D31" s="1" t="s">
        <v>16</v>
      </c>
      <c r="E31" s="1">
        <f>SUMIF(الجدول336112[الموديل],D31,الجدول336112[العدد])</f>
        <v>7</v>
      </c>
    </row>
    <row r="32" spans="2:5" x14ac:dyDescent="0.2">
      <c r="B32" s="1" t="s">
        <v>392</v>
      </c>
      <c r="C32" s="1" t="s">
        <v>382</v>
      </c>
      <c r="D32" s="1" t="s">
        <v>32</v>
      </c>
      <c r="E32" s="1">
        <f>SUMIF(الجدول336112[الموديل],D32,الجدول336112[العدد])</f>
        <v>3</v>
      </c>
    </row>
    <row r="33" spans="2:5" x14ac:dyDescent="0.2">
      <c r="B33" s="1" t="s">
        <v>390</v>
      </c>
      <c r="C33" s="1" t="s">
        <v>382</v>
      </c>
      <c r="D33" s="1" t="s">
        <v>37</v>
      </c>
      <c r="E33" s="1">
        <f>SUMIF(الجدول336112[الموديل],D33,الجدول336112[العدد])</f>
        <v>17</v>
      </c>
    </row>
    <row r="34" spans="2:5" x14ac:dyDescent="0.2">
      <c r="B34" s="1" t="s">
        <v>389</v>
      </c>
      <c r="C34" s="1" t="s">
        <v>382</v>
      </c>
      <c r="D34" s="1" t="s">
        <v>388</v>
      </c>
      <c r="E34" s="1">
        <f>SUMIF(الجدول336112[الموديل],D34,الجدول336112[العدد])</f>
        <v>10</v>
      </c>
    </row>
    <row r="35" spans="2:5" x14ac:dyDescent="0.2">
      <c r="B35" s="1" t="s">
        <v>390</v>
      </c>
      <c r="C35" s="1" t="s">
        <v>379</v>
      </c>
      <c r="D35" s="1" t="s">
        <v>40</v>
      </c>
      <c r="E35" s="1">
        <f>SUMIF(الجدول336112[الموديل],D35,الجدول336112[العدد])</f>
        <v>170</v>
      </c>
    </row>
    <row r="36" spans="2:5" x14ac:dyDescent="0.2">
      <c r="B36" s="1" t="s">
        <v>380</v>
      </c>
      <c r="C36" s="1" t="s">
        <v>379</v>
      </c>
      <c r="D36" s="1" t="s">
        <v>41</v>
      </c>
      <c r="E36" s="1">
        <f>SUMIF(الجدول336112[الموديل],D36,الجدول336112[العدد])</f>
        <v>160</v>
      </c>
    </row>
    <row r="37" spans="2:5" x14ac:dyDescent="0.2">
      <c r="B37" s="1" t="s">
        <v>390</v>
      </c>
      <c r="C37" s="1" t="s">
        <v>379</v>
      </c>
      <c r="D37" s="1" t="s">
        <v>44</v>
      </c>
      <c r="E37" s="1">
        <f>SUMIF(الجدول336112[الموديل],D37,الجدول336112[العدد])</f>
        <v>7</v>
      </c>
    </row>
    <row r="38" spans="2:5" x14ac:dyDescent="0.2">
      <c r="B38" s="1" t="s">
        <v>378</v>
      </c>
      <c r="C38" s="1" t="s">
        <v>382</v>
      </c>
      <c r="D38" s="1" t="s">
        <v>12</v>
      </c>
      <c r="E38" s="1">
        <f>SUMIF(الجدول336112[الموديل],D38,الجدول336112[العدد])</f>
        <v>43</v>
      </c>
    </row>
    <row r="39" spans="2:5" x14ac:dyDescent="0.2">
      <c r="B39" s="1" t="s">
        <v>381</v>
      </c>
      <c r="C39" s="1" t="s">
        <v>382</v>
      </c>
      <c r="D39" s="1" t="s">
        <v>34</v>
      </c>
      <c r="E39" s="1">
        <f>SUMIF(الجدول336112[الموديل],D39,الجدول336112[العدد])</f>
        <v>11</v>
      </c>
    </row>
    <row r="40" spans="2:5" x14ac:dyDescent="0.2">
      <c r="B40" s="1" t="s">
        <v>384</v>
      </c>
      <c r="C40" s="1" t="s">
        <v>379</v>
      </c>
      <c r="D40" s="1" t="s">
        <v>38</v>
      </c>
      <c r="E40" s="1">
        <f>SUMIF(الجدول336112[الموديل],D40,الجدول336112[العدد])</f>
        <v>160</v>
      </c>
    </row>
    <row r="41" spans="2:5" x14ac:dyDescent="0.2">
      <c r="B41" s="1" t="s">
        <v>381</v>
      </c>
      <c r="C41" s="1" t="s">
        <v>379</v>
      </c>
      <c r="D41" s="1" t="s">
        <v>39</v>
      </c>
      <c r="E41" s="1">
        <f>SUMIF(الجدول336112[الموديل],D41,الجدول336112[العدد])</f>
        <v>16</v>
      </c>
    </row>
    <row r="42" spans="2:5" x14ac:dyDescent="0.2">
      <c r="B42" s="1" t="s">
        <v>378</v>
      </c>
      <c r="C42" s="1" t="s">
        <v>379</v>
      </c>
      <c r="D42" s="1" t="s">
        <v>42</v>
      </c>
      <c r="E42" s="1">
        <f>SUMIF(الجدول336112[الموديل],D42,الجدول336112[العدد])</f>
        <v>1209</v>
      </c>
    </row>
    <row r="43" spans="2:5" x14ac:dyDescent="0.2">
      <c r="B43" s="1" t="s">
        <v>381</v>
      </c>
      <c r="C43" s="1" t="s">
        <v>379</v>
      </c>
      <c r="D43" s="1" t="s">
        <v>43</v>
      </c>
      <c r="E43" s="1">
        <f>SUMIF(الجدول336112[الموديل],D43,الجدول336112[العدد])</f>
        <v>4</v>
      </c>
    </row>
    <row r="44" spans="2:5" x14ac:dyDescent="0.2">
      <c r="B44" s="1" t="s">
        <v>383</v>
      </c>
      <c r="C44" s="1" t="s">
        <v>382</v>
      </c>
      <c r="D44" s="1" t="s">
        <v>17</v>
      </c>
      <c r="E44" s="1">
        <f>SUMIF(الجدول336112[الموديل],D44,الجدول336112[العدد])</f>
        <v>6</v>
      </c>
    </row>
    <row r="45" spans="2:5" x14ac:dyDescent="0.2">
      <c r="B45" s="1" t="s">
        <v>383</v>
      </c>
      <c r="C45" s="1" t="s">
        <v>382</v>
      </c>
      <c r="D45" s="1" t="s">
        <v>385</v>
      </c>
      <c r="E45" s="1">
        <f>SUMIF(الجدول336112[الموديل],D45,الجدول336112[العدد])</f>
        <v>1</v>
      </c>
    </row>
    <row r="46" spans="2:5" x14ac:dyDescent="0.2">
      <c r="B46" s="1" t="s">
        <v>514</v>
      </c>
      <c r="C46" s="1" t="s">
        <v>513</v>
      </c>
      <c r="D46" s="1" t="s">
        <v>25</v>
      </c>
      <c r="E46" s="1">
        <f>SUMIF(الجدول336112[الموديل],D46,الجدول336112[العدد])</f>
        <v>2</v>
      </c>
    </row>
    <row r="47" spans="2:5" x14ac:dyDescent="0.2">
      <c r="B47" s="1" t="s">
        <v>714</v>
      </c>
      <c r="C47" s="1" t="s">
        <v>715</v>
      </c>
      <c r="D47" s="1" t="s">
        <v>716</v>
      </c>
      <c r="E47" s="1">
        <f>SUMIF(الجدول336112[الموديل],D47,الجدول336112[العدد])</f>
        <v>21</v>
      </c>
    </row>
    <row r="48" spans="2:5" x14ac:dyDescent="0.2">
      <c r="B48" s="1" t="s">
        <v>368</v>
      </c>
      <c r="C48" s="1" t="s">
        <v>528</v>
      </c>
      <c r="D48" s="1" t="s">
        <v>13</v>
      </c>
      <c r="E48" s="1">
        <f>SUMIF(الجدول336112[الموديل],D48,الجدول336112[العدد])</f>
        <v>25</v>
      </c>
    </row>
    <row r="49" spans="2:5" x14ac:dyDescent="0.2">
      <c r="B49" s="1" t="s">
        <v>368</v>
      </c>
      <c r="C49" s="1" t="s">
        <v>528</v>
      </c>
      <c r="D49" s="1" t="s">
        <v>18</v>
      </c>
      <c r="E49" s="1">
        <f>SUMIF(الجدول336112[الموديل],D49,الجدول336112[العدد])</f>
        <v>29</v>
      </c>
    </row>
    <row r="50" spans="2:5" x14ac:dyDescent="0.2">
      <c r="B50" s="1" t="s">
        <v>662</v>
      </c>
      <c r="C50" s="1" t="s">
        <v>571</v>
      </c>
      <c r="D50" s="1" t="s">
        <v>570</v>
      </c>
      <c r="E50" s="1">
        <f>SUMIF(الجدول336112[الموديل],D50,الجدول336112[العدد])</f>
        <v>0</v>
      </c>
    </row>
    <row r="51" spans="2:5" x14ac:dyDescent="0.2">
      <c r="B51" s="1" t="s">
        <v>663</v>
      </c>
      <c r="C51" s="1" t="s">
        <v>571</v>
      </c>
      <c r="D51" s="1" t="s">
        <v>572</v>
      </c>
      <c r="E51" s="1">
        <f>SUMIF(الجدول336112[الموديل],D51,الجدول336112[العدد])</f>
        <v>0</v>
      </c>
    </row>
    <row r="52" spans="2:5" x14ac:dyDescent="0.2">
      <c r="B52" s="1" t="s">
        <v>664</v>
      </c>
      <c r="C52" s="1" t="s">
        <v>571</v>
      </c>
      <c r="D52" s="1" t="s">
        <v>573</v>
      </c>
      <c r="E52" s="1">
        <f>SUMIF(الجدول336112[الموديل],D52,الجدول336112[العدد])</f>
        <v>0</v>
      </c>
    </row>
    <row r="53" spans="2:5" x14ac:dyDescent="0.2">
      <c r="B53" s="1" t="s">
        <v>673</v>
      </c>
      <c r="C53" s="1" t="s">
        <v>571</v>
      </c>
      <c r="D53" s="1" t="s">
        <v>586</v>
      </c>
      <c r="E53" s="1">
        <f>SUMIF(الجدول336112[الموديل],D53,الجدول336112[العدد])</f>
        <v>0</v>
      </c>
    </row>
    <row r="54" spans="2:5" x14ac:dyDescent="0.2">
      <c r="B54" s="1" t="s">
        <v>674</v>
      </c>
      <c r="C54" s="1" t="s">
        <v>571</v>
      </c>
      <c r="D54" s="1" t="s">
        <v>587</v>
      </c>
      <c r="E54" s="1">
        <f>SUMIF(الجدول336112[الموديل],D54,الجدول336112[العدد])</f>
        <v>0</v>
      </c>
    </row>
    <row r="55" spans="2:5" x14ac:dyDescent="0.2">
      <c r="B55" s="1" t="s">
        <v>675</v>
      </c>
      <c r="C55" s="1" t="s">
        <v>571</v>
      </c>
      <c r="D55" s="1" t="s">
        <v>588</v>
      </c>
      <c r="E55" s="1">
        <f>SUMIF(الجدول336112[الموديل],D55,الجدول336112[العدد])</f>
        <v>0</v>
      </c>
    </row>
    <row r="56" spans="2:5" x14ac:dyDescent="0.2">
      <c r="B56" s="1" t="s">
        <v>361</v>
      </c>
      <c r="C56" s="1" t="s">
        <v>360</v>
      </c>
      <c r="D56" s="1" t="s">
        <v>21</v>
      </c>
      <c r="E56" s="1">
        <f>SUMIF(الجدول336112[الموديل],D56,الجدول336112[العدد])</f>
        <v>1</v>
      </c>
    </row>
    <row r="57" spans="2:5" x14ac:dyDescent="0.2">
      <c r="B57" s="1" t="s">
        <v>627</v>
      </c>
      <c r="C57" s="1" t="s">
        <v>551</v>
      </c>
      <c r="D57" s="1" t="s">
        <v>529</v>
      </c>
      <c r="E57" s="1">
        <f>SUMIF(الجدول336112[الموديل],D57,الجدول336112[العدد])</f>
        <v>0</v>
      </c>
    </row>
    <row r="58" spans="2:5" x14ac:dyDescent="0.2">
      <c r="B58" s="1" t="s">
        <v>629</v>
      </c>
      <c r="C58" s="1" t="s">
        <v>551</v>
      </c>
      <c r="D58" s="1" t="s">
        <v>532</v>
      </c>
      <c r="E58" s="1">
        <f>SUMIF(الجدول336112[الموديل],D58,الجدول336112[العدد])</f>
        <v>0</v>
      </c>
    </row>
    <row r="59" spans="2:5" x14ac:dyDescent="0.2">
      <c r="B59" s="1" t="s">
        <v>630</v>
      </c>
      <c r="C59" s="1" t="s">
        <v>551</v>
      </c>
      <c r="D59" s="1" t="s">
        <v>533</v>
      </c>
      <c r="E59" s="1">
        <f>SUMIF(الجدول336112[الموديل],D59,الجدول336112[العدد])</f>
        <v>0</v>
      </c>
    </row>
    <row r="60" spans="2:5" x14ac:dyDescent="0.2">
      <c r="B60" s="1" t="s">
        <v>632</v>
      </c>
      <c r="C60" s="1" t="s">
        <v>551</v>
      </c>
      <c r="D60" s="1" t="s">
        <v>535</v>
      </c>
      <c r="E60" s="1">
        <f>SUMIF(الجدول336112[الموديل],D60,الجدول336112[العدد])</f>
        <v>0</v>
      </c>
    </row>
    <row r="61" spans="2:5" x14ac:dyDescent="0.2">
      <c r="B61" s="1" t="s">
        <v>633</v>
      </c>
      <c r="C61" s="1" t="s">
        <v>551</v>
      </c>
      <c r="D61" s="1" t="s">
        <v>536</v>
      </c>
      <c r="E61" s="1">
        <f>SUMIF(الجدول336112[الموديل],D61,الجدول336112[العدد])</f>
        <v>0</v>
      </c>
    </row>
    <row r="62" spans="2:5" x14ac:dyDescent="0.2">
      <c r="B62" s="1" t="s">
        <v>637</v>
      </c>
      <c r="C62" s="1" t="s">
        <v>551</v>
      </c>
      <c r="D62" s="1" t="s">
        <v>540</v>
      </c>
      <c r="E62" s="1">
        <f>SUMIF(الجدول336112[الموديل],D62,الجدول336112[العدد])</f>
        <v>0</v>
      </c>
    </row>
    <row r="63" spans="2:5" x14ac:dyDescent="0.2">
      <c r="B63" s="1" t="s">
        <v>638</v>
      </c>
      <c r="C63" s="1" t="s">
        <v>551</v>
      </c>
      <c r="D63" s="1" t="s">
        <v>541</v>
      </c>
      <c r="E63" s="1">
        <f>SUMIF(الجدول336112[الموديل],D63,الجدول336112[العدد])</f>
        <v>0</v>
      </c>
    </row>
    <row r="64" spans="2:5" x14ac:dyDescent="0.2">
      <c r="B64" s="1" t="s">
        <v>639</v>
      </c>
      <c r="C64" s="1" t="s">
        <v>551</v>
      </c>
      <c r="D64" s="1" t="s">
        <v>542</v>
      </c>
      <c r="E64" s="1">
        <f>SUMIF(الجدول336112[الموديل],D64,الجدول336112[العدد])</f>
        <v>0</v>
      </c>
    </row>
    <row r="65" spans="2:5" x14ac:dyDescent="0.2">
      <c r="B65" s="1" t="s">
        <v>626</v>
      </c>
      <c r="C65" s="1" t="s">
        <v>552</v>
      </c>
      <c r="D65" s="1" t="s">
        <v>530</v>
      </c>
      <c r="E65" s="1">
        <f>SUMIF(الجدول336112[الموديل],D65,الجدول336112[العدد])</f>
        <v>0</v>
      </c>
    </row>
    <row r="66" spans="2:5" x14ac:dyDescent="0.2">
      <c r="B66" s="1" t="s">
        <v>628</v>
      </c>
      <c r="C66" s="1" t="s">
        <v>552</v>
      </c>
      <c r="D66" s="1" t="s">
        <v>531</v>
      </c>
      <c r="E66" s="1">
        <f>SUMIF(الجدول336112[الموديل],D66,الجدول336112[العدد])</f>
        <v>0</v>
      </c>
    </row>
    <row r="67" spans="2:5" x14ac:dyDescent="0.2">
      <c r="B67" s="1" t="s">
        <v>631</v>
      </c>
      <c r="C67" s="1" t="s">
        <v>552</v>
      </c>
      <c r="D67" s="1" t="s">
        <v>534</v>
      </c>
      <c r="E67" s="1">
        <f>SUMIF(الجدول336112[الموديل],D67,الجدول336112[العدد])</f>
        <v>0</v>
      </c>
    </row>
    <row r="68" spans="2:5" x14ac:dyDescent="0.2">
      <c r="B68" s="1" t="s">
        <v>634</v>
      </c>
      <c r="C68" s="1" t="s">
        <v>552</v>
      </c>
      <c r="D68" s="1" t="s">
        <v>537</v>
      </c>
      <c r="E68" s="1">
        <f>SUMIF(الجدول336112[الموديل],D68,الجدول336112[العدد])</f>
        <v>0</v>
      </c>
    </row>
    <row r="69" spans="2:5" x14ac:dyDescent="0.2">
      <c r="B69" s="1" t="s">
        <v>635</v>
      </c>
      <c r="C69" s="1" t="s">
        <v>552</v>
      </c>
      <c r="D69" s="1" t="s">
        <v>538</v>
      </c>
      <c r="E69" s="1">
        <f>SUMIF(الجدول336112[الموديل],D69,الجدول336112[العدد])</f>
        <v>0</v>
      </c>
    </row>
    <row r="70" spans="2:5" x14ac:dyDescent="0.2">
      <c r="B70" s="1" t="s">
        <v>636</v>
      </c>
      <c r="C70" s="1" t="s">
        <v>552</v>
      </c>
      <c r="D70" s="1" t="s">
        <v>539</v>
      </c>
      <c r="E70" s="1">
        <f>SUMIF(الجدول336112[الموديل],D70,الجدول336112[العدد])</f>
        <v>0</v>
      </c>
    </row>
    <row r="71" spans="2:5" x14ac:dyDescent="0.2">
      <c r="B71" s="1" t="s">
        <v>640</v>
      </c>
      <c r="C71" s="1" t="s">
        <v>552</v>
      </c>
      <c r="D71" s="1" t="s">
        <v>543</v>
      </c>
      <c r="E71" s="1">
        <f>SUMIF(الجدول336112[الموديل],D71,الجدول336112[العدد])</f>
        <v>0</v>
      </c>
    </row>
    <row r="72" spans="2:5" x14ac:dyDescent="0.2">
      <c r="B72" s="1" t="s">
        <v>641</v>
      </c>
      <c r="C72" s="1" t="s">
        <v>552</v>
      </c>
      <c r="D72" s="1" t="s">
        <v>544</v>
      </c>
      <c r="E72" s="1">
        <f>SUMIF(الجدول336112[الموديل],D72,الجدول336112[العدد])</f>
        <v>0</v>
      </c>
    </row>
    <row r="73" spans="2:5" x14ac:dyDescent="0.2">
      <c r="B73" s="1" t="s">
        <v>644</v>
      </c>
      <c r="C73" s="1" t="s">
        <v>552</v>
      </c>
      <c r="D73" s="1" t="s">
        <v>545</v>
      </c>
      <c r="E73" s="1">
        <f>SUMIF(الجدول336112[الموديل],D73,الجدول336112[العدد])</f>
        <v>0</v>
      </c>
    </row>
    <row r="74" spans="2:5" x14ac:dyDescent="0.2">
      <c r="B74" s="1" t="s">
        <v>683</v>
      </c>
      <c r="C74" s="1" t="s">
        <v>552</v>
      </c>
      <c r="D74" s="1" t="s">
        <v>602</v>
      </c>
      <c r="E74" s="1">
        <f>SUMIF(الجدول336112[الموديل],D74,الجدول336112[العدد])</f>
        <v>0</v>
      </c>
    </row>
    <row r="75" spans="2:5" x14ac:dyDescent="0.2">
      <c r="B75" s="1" t="s">
        <v>646</v>
      </c>
      <c r="C75" s="1" t="s">
        <v>552</v>
      </c>
      <c r="D75" s="1" t="s">
        <v>547</v>
      </c>
      <c r="E75" s="1">
        <f>SUMIF(الجدول336112[الموديل],D75,الجدول336112[العدد])</f>
        <v>0</v>
      </c>
    </row>
    <row r="76" spans="2:5" x14ac:dyDescent="0.2">
      <c r="B76" s="1" t="s">
        <v>647</v>
      </c>
      <c r="C76" s="1" t="s">
        <v>552</v>
      </c>
      <c r="D76" s="1" t="s">
        <v>548</v>
      </c>
      <c r="E76" s="1">
        <f>SUMIF(الجدول336112[الموديل],D76,الجدول336112[العدد])</f>
        <v>0</v>
      </c>
    </row>
    <row r="77" spans="2:5" x14ac:dyDescent="0.2">
      <c r="B77" s="1" t="s">
        <v>648</v>
      </c>
      <c r="C77" s="1" t="s">
        <v>552</v>
      </c>
      <c r="D77" s="1" t="s">
        <v>549</v>
      </c>
      <c r="E77" s="1">
        <f>SUMIF(الجدول336112[الموديل],D77,الجدول336112[العدد])</f>
        <v>0</v>
      </c>
    </row>
    <row r="78" spans="2:5" x14ac:dyDescent="0.2">
      <c r="B78" s="1" t="s">
        <v>642</v>
      </c>
      <c r="C78" s="1" t="s">
        <v>553</v>
      </c>
      <c r="D78" s="1" t="s">
        <v>554</v>
      </c>
      <c r="E78" s="1">
        <f>SUMIF(الجدول336112[الموديل],D78,الجدول336112[العدد])</f>
        <v>0</v>
      </c>
    </row>
    <row r="79" spans="2:5" x14ac:dyDescent="0.2">
      <c r="B79" s="1" t="s">
        <v>643</v>
      </c>
      <c r="C79" s="1" t="s">
        <v>553</v>
      </c>
      <c r="D79" s="1" t="s">
        <v>555</v>
      </c>
      <c r="E79" s="1">
        <f>SUMIF(الجدول336112[الموديل],D79,الجدول336112[العدد])</f>
        <v>0</v>
      </c>
    </row>
    <row r="80" spans="2:5" x14ac:dyDescent="0.2">
      <c r="B80" s="1" t="s">
        <v>645</v>
      </c>
      <c r="C80" s="1" t="s">
        <v>556</v>
      </c>
      <c r="D80" s="1" t="s">
        <v>546</v>
      </c>
      <c r="E80" s="1">
        <f>SUMIF(الجدول336112[الموديل],D80,الجدول336112[العدد])</f>
        <v>0</v>
      </c>
    </row>
    <row r="81" spans="2:5" x14ac:dyDescent="0.2">
      <c r="B81" s="1" t="s">
        <v>369</v>
      </c>
      <c r="C81" s="1" t="s">
        <v>371</v>
      </c>
      <c r="D81" s="1" t="s">
        <v>370</v>
      </c>
      <c r="E81" s="1">
        <f>SUMIF(الجدول336112[الموديل],D81,الجدول336112[العدد])</f>
        <v>25</v>
      </c>
    </row>
    <row r="82" spans="2:5" x14ac:dyDescent="0.2">
      <c r="B82" s="1" t="s">
        <v>363</v>
      </c>
      <c r="C82" s="1" t="s">
        <v>362</v>
      </c>
      <c r="D82" s="1" t="s">
        <v>31</v>
      </c>
      <c r="E82" s="1">
        <f>SUMIF(الجدول336112[الموديل],D82,الجدول336112[العدد])</f>
        <v>7</v>
      </c>
    </row>
    <row r="83" spans="2:5" x14ac:dyDescent="0.2">
      <c r="D83" s="1" t="s">
        <v>27</v>
      </c>
      <c r="E83" s="1">
        <f>SUMIF(الجدول336112[الموديل],D83,الجدول336112[العدد])</f>
        <v>0</v>
      </c>
    </row>
    <row r="84" spans="2:5" x14ac:dyDescent="0.2">
      <c r="B84" s="1" t="s">
        <v>519</v>
      </c>
      <c r="C84" s="1" t="s">
        <v>520</v>
      </c>
      <c r="D84" s="1" t="s">
        <v>23</v>
      </c>
      <c r="E84" s="1">
        <f>SUMIF(الجدول336112[الموديل],D84,الجدول336112[العدد])</f>
        <v>10</v>
      </c>
    </row>
    <row r="85" spans="2:5" x14ac:dyDescent="0.2">
      <c r="B85" s="1" t="s">
        <v>519</v>
      </c>
      <c r="C85" s="1" t="s">
        <v>520</v>
      </c>
      <c r="D85" s="1" t="s">
        <v>28</v>
      </c>
      <c r="E85" s="1">
        <f>SUMIF(الجدول336112[الموديل],D85,الجدول336112[العدد])</f>
        <v>5</v>
      </c>
    </row>
    <row r="86" spans="2:5" x14ac:dyDescent="0.2">
      <c r="B86" s="1" t="s">
        <v>519</v>
      </c>
      <c r="C86" s="1" t="s">
        <v>520</v>
      </c>
      <c r="D86" s="1" t="s">
        <v>29</v>
      </c>
      <c r="E86" s="1">
        <f>SUMIF(الجدول336112[الموديل],D86,الجدول336112[العدد])</f>
        <v>5</v>
      </c>
    </row>
    <row r="87" spans="2:5" x14ac:dyDescent="0.2">
      <c r="D87" s="1" t="s">
        <v>30</v>
      </c>
      <c r="E87" s="1">
        <f>SUMIF(الجدول336112[الموديل],D87,الجدول336112[العدد])</f>
        <v>0</v>
      </c>
    </row>
    <row r="88" spans="2:5" x14ac:dyDescent="0.2">
      <c r="D88" s="1" t="s">
        <v>35</v>
      </c>
      <c r="E88" s="1">
        <f>SUMIF(الجدول336112[الموديل],D88,الجدول336112[العدد])</f>
        <v>0</v>
      </c>
    </row>
    <row r="89" spans="2:5" x14ac:dyDescent="0.2">
      <c r="B89" s="1" t="s">
        <v>354</v>
      </c>
      <c r="C89" s="1" t="s">
        <v>355</v>
      </c>
      <c r="D89" s="1" t="s">
        <v>19</v>
      </c>
      <c r="E89" s="1">
        <f>SUMIF(الجدول336112[الموديل],D89,الجدول336112[العدد])</f>
        <v>380</v>
      </c>
    </row>
    <row r="90" spans="2:5" x14ac:dyDescent="0.2">
      <c r="B90" s="1" t="s">
        <v>512</v>
      </c>
      <c r="C90" s="1" t="s">
        <v>511</v>
      </c>
      <c r="D90" s="1" t="s">
        <v>36</v>
      </c>
      <c r="E90" s="1">
        <f>SUMIF(الجدول336112[الموديل],D90,الجدول336112[العدد])</f>
        <v>2</v>
      </c>
    </row>
    <row r="91" spans="2:5" x14ac:dyDescent="0.2">
      <c r="B91" s="1" t="s">
        <v>359</v>
      </c>
      <c r="C91" s="1" t="s">
        <v>358</v>
      </c>
      <c r="D91" s="1" t="s">
        <v>45</v>
      </c>
      <c r="E91" s="1">
        <f>SUMIF(الجدول336112[الموديل],D91,الجدول336112[العدد])</f>
        <v>3</v>
      </c>
    </row>
    <row r="92" spans="2:5" x14ac:dyDescent="0.2">
      <c r="B92" s="1" t="s">
        <v>354</v>
      </c>
      <c r="C92" s="1" t="s">
        <v>355</v>
      </c>
      <c r="D92" s="1" t="s">
        <v>49</v>
      </c>
      <c r="E92" s="1">
        <f>SUMIF(الجدول336112[الموديل],D92,الجدول336112[العدد])</f>
        <v>282</v>
      </c>
    </row>
    <row r="93" spans="2:5" x14ac:dyDescent="0.2">
      <c r="B93" s="1" t="s">
        <v>356</v>
      </c>
      <c r="C93" s="1" t="s">
        <v>511</v>
      </c>
      <c r="D93" s="1" t="s">
        <v>50</v>
      </c>
      <c r="E93" s="1">
        <f>SUMIF(الجدول336112[الموديل],D93,الجدول336112[العدد])</f>
        <v>300</v>
      </c>
    </row>
    <row r="94" spans="2:5" x14ac:dyDescent="0.2">
      <c r="B94" s="1" t="s">
        <v>365</v>
      </c>
      <c r="C94" s="1" t="s">
        <v>366</v>
      </c>
      <c r="D94" s="1" t="s">
        <v>752</v>
      </c>
      <c r="E94" s="1">
        <f>SUMIF(الجدول336112[الموديل],D94,الجدول336112[العدد])</f>
        <v>7</v>
      </c>
    </row>
    <row r="95" spans="2:5" x14ac:dyDescent="0.2">
      <c r="D95" s="1" t="s">
        <v>51</v>
      </c>
      <c r="E95" s="1">
        <f>SUMIF(الجدول336112[الموديل],D95,الجدول336112[العدد])</f>
        <v>0</v>
      </c>
    </row>
    <row r="96" spans="2:5" x14ac:dyDescent="0.2">
      <c r="B96" s="1" t="s">
        <v>318</v>
      </c>
      <c r="C96" s="1" t="s">
        <v>521</v>
      </c>
      <c r="D96" s="1" t="s">
        <v>52</v>
      </c>
      <c r="E96" s="1">
        <f>SUMIF(الجدول336112[الموديل],D96,الجدول336112[العدد])</f>
        <v>10</v>
      </c>
    </row>
    <row r="97" spans="2:5" x14ac:dyDescent="0.2">
      <c r="B97" s="1" t="s">
        <v>318</v>
      </c>
      <c r="C97" s="1" t="s">
        <v>521</v>
      </c>
      <c r="D97" s="1" t="s">
        <v>53</v>
      </c>
      <c r="E97" s="1">
        <f>SUMIF(الجدول336112[الموديل],D97,الجدول336112[العدد])</f>
        <v>350</v>
      </c>
    </row>
    <row r="98" spans="2:5" x14ac:dyDescent="0.2">
      <c r="B98" s="1" t="s">
        <v>318</v>
      </c>
      <c r="C98" s="1" t="s">
        <v>521</v>
      </c>
      <c r="D98" s="1" t="s">
        <v>54</v>
      </c>
      <c r="E98" s="1">
        <f>SUMIF(الجدول336112[الموديل],D98,الجدول336112[العدد])</f>
        <v>4</v>
      </c>
    </row>
    <row r="99" spans="2:5" x14ac:dyDescent="0.2">
      <c r="B99" s="1" t="s">
        <v>318</v>
      </c>
      <c r="C99" s="1" t="s">
        <v>521</v>
      </c>
      <c r="D99" s="1" t="s">
        <v>55</v>
      </c>
      <c r="E99" s="1">
        <f>SUMIF(الجدول336112[الموديل],D99,الجدول336112[العدد])</f>
        <v>24</v>
      </c>
    </row>
    <row r="100" spans="2:5" x14ac:dyDescent="0.2">
      <c r="B100" s="1" t="s">
        <v>318</v>
      </c>
      <c r="C100" s="1" t="s">
        <v>521</v>
      </c>
      <c r="D100" s="1" t="s">
        <v>56</v>
      </c>
      <c r="E100" s="1">
        <f>SUMIF(الجدول336112[الموديل],D100,الجدول336112[العدد])</f>
        <v>27</v>
      </c>
    </row>
    <row r="101" spans="2:5" x14ac:dyDescent="0.2">
      <c r="B101" s="1" t="s">
        <v>318</v>
      </c>
      <c r="C101" s="1" t="s">
        <v>521</v>
      </c>
      <c r="D101" s="1" t="s">
        <v>57</v>
      </c>
      <c r="E101" s="1">
        <f>SUMIF(الجدول336112[الموديل],D101,الجدول336112[العدد])</f>
        <v>10</v>
      </c>
    </row>
    <row r="102" spans="2:5" x14ac:dyDescent="0.2">
      <c r="B102" s="1" t="s">
        <v>318</v>
      </c>
      <c r="C102" s="1" t="s">
        <v>521</v>
      </c>
      <c r="D102" s="1" t="s">
        <v>58</v>
      </c>
      <c r="E102" s="1">
        <f>SUMIF(الجدول336112[الموديل],D102,الجدول336112[العدد])</f>
        <v>17</v>
      </c>
    </row>
    <row r="103" spans="2:5" x14ac:dyDescent="0.2">
      <c r="B103" s="1" t="s">
        <v>318</v>
      </c>
      <c r="C103" s="1" t="s">
        <v>521</v>
      </c>
      <c r="D103" s="1" t="s">
        <v>59</v>
      </c>
      <c r="E103" s="1">
        <f>SUMIF(الجدول336112[الموديل],D103,الجدول336112[العدد])</f>
        <v>696</v>
      </c>
    </row>
    <row r="104" spans="2:5" x14ac:dyDescent="0.2">
      <c r="B104" s="1" t="s">
        <v>318</v>
      </c>
      <c r="C104" s="1" t="s">
        <v>521</v>
      </c>
      <c r="D104" s="1" t="s">
        <v>60</v>
      </c>
      <c r="E104" s="1">
        <f>SUMIF(الجدول336112[الموديل],D104,الجدول336112[العدد])</f>
        <v>14</v>
      </c>
    </row>
    <row r="105" spans="2:5" x14ac:dyDescent="0.2">
      <c r="B105" s="1" t="s">
        <v>318</v>
      </c>
      <c r="C105" s="1" t="s">
        <v>521</v>
      </c>
      <c r="D105" s="1" t="s">
        <v>61</v>
      </c>
      <c r="E105" s="1">
        <f>SUMIF(الجدول336112[الموديل],D105,الجدول336112[العدد])</f>
        <v>14</v>
      </c>
    </row>
    <row r="106" spans="2:5" x14ac:dyDescent="0.2">
      <c r="B106" s="1" t="s">
        <v>318</v>
      </c>
      <c r="C106" s="1" t="s">
        <v>521</v>
      </c>
      <c r="D106" s="1" t="s">
        <v>62</v>
      </c>
      <c r="E106" s="1">
        <f>SUMIF(الجدول336112[الموديل],D106,الجدول336112[العدد])</f>
        <v>169</v>
      </c>
    </row>
    <row r="107" spans="2:5" x14ac:dyDescent="0.2">
      <c r="B107" s="1" t="s">
        <v>318</v>
      </c>
      <c r="C107" s="1" t="s">
        <v>521</v>
      </c>
      <c r="D107" s="1" t="s">
        <v>63</v>
      </c>
      <c r="E107" s="1">
        <f>SUMIF(الجدول336112[الموديل],D107,الجدول336112[العدد])</f>
        <v>19</v>
      </c>
    </row>
    <row r="108" spans="2:5" x14ac:dyDescent="0.2">
      <c r="B108" s="1" t="s">
        <v>318</v>
      </c>
      <c r="C108" s="1" t="s">
        <v>521</v>
      </c>
      <c r="D108" s="1" t="s">
        <v>64</v>
      </c>
      <c r="E108" s="1">
        <f>SUMIF(الجدول336112[الموديل],D108,الجدول336112[العدد])</f>
        <v>23</v>
      </c>
    </row>
    <row r="109" spans="2:5" x14ac:dyDescent="0.2">
      <c r="B109" s="1" t="s">
        <v>318</v>
      </c>
      <c r="C109" s="1" t="s">
        <v>521</v>
      </c>
      <c r="D109" s="1" t="s">
        <v>65</v>
      </c>
      <c r="E109" s="1">
        <f>SUMIF(الجدول336112[الموديل],D109,الجدول336112[العدد])</f>
        <v>20</v>
      </c>
    </row>
    <row r="110" spans="2:5" x14ac:dyDescent="0.2">
      <c r="B110" s="1" t="s">
        <v>318</v>
      </c>
      <c r="C110" s="1" t="s">
        <v>521</v>
      </c>
      <c r="D110" s="1" t="s">
        <v>66</v>
      </c>
      <c r="E110" s="1">
        <f>SUMIF(الجدول336112[الموديل],D110,الجدول336112[العدد])</f>
        <v>12</v>
      </c>
    </row>
    <row r="111" spans="2:5" x14ac:dyDescent="0.2">
      <c r="B111" s="1" t="s">
        <v>318</v>
      </c>
      <c r="C111" s="1" t="s">
        <v>521</v>
      </c>
      <c r="D111" s="1" t="s">
        <v>67</v>
      </c>
      <c r="E111" s="1">
        <f>SUMIF(الجدول336112[الموديل],D111,الجدول336112[العدد])</f>
        <v>27</v>
      </c>
    </row>
    <row r="112" spans="2:5" x14ac:dyDescent="0.2">
      <c r="B112" s="1" t="s">
        <v>318</v>
      </c>
      <c r="C112" s="1" t="s">
        <v>521</v>
      </c>
      <c r="D112" s="1" t="s">
        <v>68</v>
      </c>
      <c r="E112" s="1">
        <f>SUMIF(الجدول336112[الموديل],D112,الجدول336112[العدد])</f>
        <v>8</v>
      </c>
    </row>
    <row r="113" spans="2:5" x14ac:dyDescent="0.2">
      <c r="B113" s="1" t="s">
        <v>318</v>
      </c>
      <c r="C113" s="1" t="s">
        <v>521</v>
      </c>
      <c r="D113" s="1" t="s">
        <v>69</v>
      </c>
      <c r="E113" s="1">
        <f>SUMIF(الجدول336112[الموديل],D113,الجدول336112[العدد])</f>
        <v>40</v>
      </c>
    </row>
    <row r="114" spans="2:5" x14ac:dyDescent="0.2">
      <c r="B114" s="1" t="s">
        <v>318</v>
      </c>
      <c r="C114" s="1" t="s">
        <v>521</v>
      </c>
      <c r="D114" s="1" t="s">
        <v>70</v>
      </c>
      <c r="E114" s="1">
        <f>SUMIF(الجدول336112[الموديل],D114,الجدول336112[العدد])</f>
        <v>30</v>
      </c>
    </row>
    <row r="115" spans="2:5" x14ac:dyDescent="0.2">
      <c r="B115" s="1" t="s">
        <v>318</v>
      </c>
      <c r="C115" s="1" t="s">
        <v>521</v>
      </c>
      <c r="D115" s="1" t="s">
        <v>71</v>
      </c>
      <c r="E115" s="1">
        <f>SUMIF(الجدول336112[الموديل],D115,الجدول336112[العدد])</f>
        <v>8</v>
      </c>
    </row>
    <row r="116" spans="2:5" x14ac:dyDescent="0.2">
      <c r="B116" s="1" t="s">
        <v>318</v>
      </c>
      <c r="C116" s="1" t="s">
        <v>521</v>
      </c>
      <c r="D116" s="1" t="s">
        <v>72</v>
      </c>
      <c r="E116" s="1">
        <f>SUMIF(الجدول336112[الموديل],D116,الجدول336112[العدد])</f>
        <v>60</v>
      </c>
    </row>
    <row r="117" spans="2:5" x14ac:dyDescent="0.2">
      <c r="B117" s="1" t="s">
        <v>318</v>
      </c>
      <c r="C117" s="1" t="s">
        <v>521</v>
      </c>
      <c r="D117" s="1" t="s">
        <v>73</v>
      </c>
      <c r="E117" s="1">
        <f>SUMIF(الجدول336112[الموديل],D117,الجدول336112[العدد])</f>
        <v>92</v>
      </c>
    </row>
    <row r="118" spans="2:5" x14ac:dyDescent="0.2">
      <c r="B118" s="1" t="s">
        <v>318</v>
      </c>
      <c r="C118" s="1" t="s">
        <v>521</v>
      </c>
      <c r="D118" s="1" t="s">
        <v>74</v>
      </c>
      <c r="E118" s="1">
        <f>SUMIF(الجدول336112[الموديل],D118,الجدول336112[العدد])</f>
        <v>175</v>
      </c>
    </row>
    <row r="119" spans="2:5" x14ac:dyDescent="0.2">
      <c r="B119" s="1" t="s">
        <v>318</v>
      </c>
      <c r="C119" s="1" t="s">
        <v>521</v>
      </c>
      <c r="D119" s="1" t="s">
        <v>75</v>
      </c>
      <c r="E119" s="1">
        <f>SUMIF(الجدول336112[الموديل],D119,الجدول336112[العدد])</f>
        <v>20</v>
      </c>
    </row>
    <row r="120" spans="2:5" x14ac:dyDescent="0.2">
      <c r="B120" s="1" t="s">
        <v>318</v>
      </c>
      <c r="C120" s="1" t="s">
        <v>521</v>
      </c>
      <c r="D120" s="1" t="s">
        <v>76</v>
      </c>
      <c r="E120" s="1">
        <f>SUMIF(الجدول336112[الموديل],D120,الجدول336112[العدد])</f>
        <v>643</v>
      </c>
    </row>
    <row r="121" spans="2:5" x14ac:dyDescent="0.2">
      <c r="B121" s="1" t="s">
        <v>318</v>
      </c>
      <c r="C121" s="1" t="s">
        <v>521</v>
      </c>
      <c r="D121" s="1" t="s">
        <v>77</v>
      </c>
      <c r="E121" s="1">
        <f>SUMIF(الجدول336112[الموديل],D121,الجدول336112[العدد])</f>
        <v>0</v>
      </c>
    </row>
    <row r="122" spans="2:5" x14ac:dyDescent="0.2">
      <c r="B122" s="1" t="s">
        <v>318</v>
      </c>
      <c r="C122" s="1" t="s">
        <v>521</v>
      </c>
      <c r="D122" s="1" t="s">
        <v>78</v>
      </c>
      <c r="E122" s="1">
        <f>SUMIF(الجدول336112[الموديل],D122,الجدول336112[العدد])</f>
        <v>0</v>
      </c>
    </row>
    <row r="123" spans="2:5" x14ac:dyDescent="0.2">
      <c r="B123" s="1" t="s">
        <v>318</v>
      </c>
      <c r="C123" s="1" t="s">
        <v>521</v>
      </c>
      <c r="D123" s="1" t="s">
        <v>79</v>
      </c>
      <c r="E123" s="1">
        <f>SUMIF(الجدول336112[الموديل],D123,الجدول336112[العدد])</f>
        <v>50</v>
      </c>
    </row>
    <row r="124" spans="2:5" x14ac:dyDescent="0.2">
      <c r="B124" s="1" t="s">
        <v>318</v>
      </c>
      <c r="C124" s="1" t="s">
        <v>521</v>
      </c>
      <c r="D124" s="1" t="s">
        <v>80</v>
      </c>
      <c r="E124" s="1">
        <f>SUMIF(الجدول336112[الموديل],D124,الجدول336112[العدد])</f>
        <v>15</v>
      </c>
    </row>
    <row r="125" spans="2:5" x14ac:dyDescent="0.2">
      <c r="B125" s="1" t="s">
        <v>318</v>
      </c>
      <c r="C125" s="1" t="s">
        <v>521</v>
      </c>
      <c r="D125" s="1" t="s">
        <v>81</v>
      </c>
      <c r="E125" s="1">
        <f>SUMIF(الجدول336112[الموديل],D125,الجدول336112[العدد])</f>
        <v>2</v>
      </c>
    </row>
    <row r="126" spans="2:5" x14ac:dyDescent="0.2">
      <c r="B126" s="1" t="s">
        <v>318</v>
      </c>
      <c r="C126" s="1" t="s">
        <v>521</v>
      </c>
      <c r="D126" s="1" t="s">
        <v>82</v>
      </c>
      <c r="E126" s="1">
        <f>SUMIF(الجدول336112[الموديل],D126,الجدول336112[العدد])</f>
        <v>30</v>
      </c>
    </row>
    <row r="127" spans="2:5" x14ac:dyDescent="0.2">
      <c r="B127" s="1" t="s">
        <v>318</v>
      </c>
      <c r="C127" s="1" t="s">
        <v>521</v>
      </c>
      <c r="D127" s="1" t="s">
        <v>83</v>
      </c>
      <c r="E127" s="1">
        <f>SUMIF(الجدول336112[الموديل],D127,الجدول336112[العدد])</f>
        <v>22</v>
      </c>
    </row>
    <row r="128" spans="2:5" x14ac:dyDescent="0.2">
      <c r="B128" s="1" t="s">
        <v>318</v>
      </c>
      <c r="C128" s="1" t="s">
        <v>521</v>
      </c>
      <c r="D128" s="1" t="s">
        <v>84</v>
      </c>
      <c r="E128" s="1">
        <f>SUMIF(الجدول336112[الموديل],D128,الجدول336112[العدد])</f>
        <v>9</v>
      </c>
    </row>
    <row r="129" spans="2:5" x14ac:dyDescent="0.2">
      <c r="B129" s="1" t="s">
        <v>318</v>
      </c>
      <c r="C129" s="1" t="s">
        <v>521</v>
      </c>
      <c r="D129" s="1" t="s">
        <v>85</v>
      </c>
      <c r="E129" s="1">
        <f>SUMIF(الجدول336112[الموديل],D129,الجدول336112[العدد])</f>
        <v>4</v>
      </c>
    </row>
    <row r="130" spans="2:5" x14ac:dyDescent="0.2">
      <c r="B130" s="1" t="s">
        <v>318</v>
      </c>
      <c r="C130" s="1" t="s">
        <v>521</v>
      </c>
      <c r="D130" s="1" t="s">
        <v>86</v>
      </c>
      <c r="E130" s="1">
        <f>SUMIF(الجدول336112[الموديل],D130,الجدول336112[العدد])</f>
        <v>36</v>
      </c>
    </row>
    <row r="131" spans="2:5" x14ac:dyDescent="0.2">
      <c r="B131" s="1" t="s">
        <v>318</v>
      </c>
      <c r="C131" s="1" t="s">
        <v>521</v>
      </c>
      <c r="D131" s="1" t="s">
        <v>87</v>
      </c>
      <c r="E131" s="1">
        <f>SUMIF(الجدول336112[الموديل],D131,الجدول336112[العدد])</f>
        <v>5</v>
      </c>
    </row>
    <row r="132" spans="2:5" x14ac:dyDescent="0.2">
      <c r="B132" s="1" t="s">
        <v>318</v>
      </c>
      <c r="C132" s="1" t="s">
        <v>521</v>
      </c>
      <c r="D132" s="1" t="s">
        <v>88</v>
      </c>
      <c r="E132" s="1">
        <f>SUMIF(الجدول336112[الموديل],D132,الجدول336112[العدد])</f>
        <v>20</v>
      </c>
    </row>
    <row r="133" spans="2:5" x14ac:dyDescent="0.2">
      <c r="B133" s="1" t="s">
        <v>318</v>
      </c>
      <c r="C133" s="1" t="s">
        <v>521</v>
      </c>
      <c r="D133" s="1" t="s">
        <v>89</v>
      </c>
      <c r="E133" s="1">
        <f>SUMIF(الجدول336112[الموديل],D133,الجدول336112[العدد])</f>
        <v>5</v>
      </c>
    </row>
    <row r="134" spans="2:5" x14ac:dyDescent="0.2">
      <c r="B134" s="1" t="s">
        <v>318</v>
      </c>
      <c r="C134" s="1" t="s">
        <v>521</v>
      </c>
      <c r="D134" s="1" t="s">
        <v>90</v>
      </c>
      <c r="E134" s="1">
        <f>SUMIF(الجدول336112[الموديل],D134,الجدول336112[العدد])</f>
        <v>20</v>
      </c>
    </row>
    <row r="135" spans="2:5" x14ac:dyDescent="0.2">
      <c r="B135" s="1" t="s">
        <v>318</v>
      </c>
      <c r="C135" s="1" t="s">
        <v>521</v>
      </c>
      <c r="D135" s="1" t="s">
        <v>91</v>
      </c>
      <c r="E135" s="1">
        <f>SUMIF(الجدول336112[الموديل],D135,الجدول336112[العدد])</f>
        <v>0</v>
      </c>
    </row>
    <row r="136" spans="2:5" x14ac:dyDescent="0.2">
      <c r="B136" s="1" t="s">
        <v>318</v>
      </c>
      <c r="C136" s="1" t="s">
        <v>521</v>
      </c>
      <c r="D136" s="1" t="s">
        <v>92</v>
      </c>
      <c r="E136" s="1">
        <f>SUMIF(الجدول336112[الموديل],D136,الجدول336112[العدد])</f>
        <v>80</v>
      </c>
    </row>
    <row r="137" spans="2:5" x14ac:dyDescent="0.2">
      <c r="B137" s="1" t="s">
        <v>318</v>
      </c>
      <c r="C137" s="1" t="s">
        <v>521</v>
      </c>
      <c r="D137" s="1" t="s">
        <v>93</v>
      </c>
      <c r="E137" s="1">
        <f>SUMIF(الجدول336112[الموديل],D137,الجدول336112[العدد])</f>
        <v>20</v>
      </c>
    </row>
    <row r="138" spans="2:5" x14ac:dyDescent="0.2">
      <c r="B138" s="1" t="s">
        <v>318</v>
      </c>
      <c r="C138" s="1" t="s">
        <v>521</v>
      </c>
      <c r="D138" s="1" t="s">
        <v>94</v>
      </c>
      <c r="E138" s="1">
        <f>SUMIF(الجدول336112[الموديل],D138,الجدول336112[العدد])</f>
        <v>300</v>
      </c>
    </row>
    <row r="139" spans="2:5" x14ac:dyDescent="0.2">
      <c r="B139" s="1" t="s">
        <v>318</v>
      </c>
      <c r="C139" s="1" t="s">
        <v>521</v>
      </c>
      <c r="D139" s="1" t="s">
        <v>95</v>
      </c>
      <c r="E139" s="1">
        <f>SUMIF(الجدول336112[الموديل],D139,الجدول336112[العدد])</f>
        <v>454</v>
      </c>
    </row>
    <row r="140" spans="2:5" x14ac:dyDescent="0.2">
      <c r="B140" s="1" t="s">
        <v>318</v>
      </c>
      <c r="C140" s="1" t="s">
        <v>521</v>
      </c>
      <c r="D140" s="1" t="s">
        <v>96</v>
      </c>
      <c r="E140" s="1">
        <f>SUMIF(الجدول336112[الموديل],D140,الجدول336112[العدد])</f>
        <v>10</v>
      </c>
    </row>
    <row r="141" spans="2:5" x14ac:dyDescent="0.2">
      <c r="B141" s="1" t="s">
        <v>318</v>
      </c>
      <c r="C141" s="1" t="s">
        <v>521</v>
      </c>
      <c r="D141" s="1" t="s">
        <v>97</v>
      </c>
      <c r="E141" s="1">
        <f>SUMIF(الجدول336112[الموديل],D141,الجدول336112[العدد])</f>
        <v>150</v>
      </c>
    </row>
    <row r="142" spans="2:5" x14ac:dyDescent="0.2">
      <c r="B142" s="1" t="s">
        <v>318</v>
      </c>
      <c r="C142" s="1" t="s">
        <v>521</v>
      </c>
      <c r="D142" s="1" t="s">
        <v>98</v>
      </c>
      <c r="E142" s="1">
        <f>SUMIF(الجدول336112[الموديل],D142,الجدول336112[العدد])</f>
        <v>6</v>
      </c>
    </row>
    <row r="143" spans="2:5" x14ac:dyDescent="0.2">
      <c r="B143" s="1" t="s">
        <v>318</v>
      </c>
      <c r="C143" s="1" t="s">
        <v>521</v>
      </c>
      <c r="D143" s="1" t="s">
        <v>99</v>
      </c>
      <c r="E143" s="1">
        <f>SUMIF(الجدول336112[الموديل],D143,الجدول336112[العدد])</f>
        <v>114</v>
      </c>
    </row>
    <row r="144" spans="2:5" x14ac:dyDescent="0.2">
      <c r="B144" s="1" t="s">
        <v>318</v>
      </c>
      <c r="C144" s="1" t="s">
        <v>521</v>
      </c>
      <c r="D144" s="1" t="s">
        <v>101</v>
      </c>
      <c r="E144" s="1">
        <f>SUMIF(الجدول336112[الموديل],D144,الجدول336112[العدد])</f>
        <v>49</v>
      </c>
    </row>
    <row r="145" spans="2:5" x14ac:dyDescent="0.2">
      <c r="B145" s="1" t="s">
        <v>318</v>
      </c>
      <c r="C145" s="1" t="s">
        <v>521</v>
      </c>
      <c r="D145" s="1" t="s">
        <v>102</v>
      </c>
      <c r="E145" s="1">
        <f>SUMIF(الجدول336112[الموديل],D145,الجدول336112[العدد])</f>
        <v>90</v>
      </c>
    </row>
    <row r="146" spans="2:5" x14ac:dyDescent="0.2">
      <c r="B146" s="1" t="s">
        <v>318</v>
      </c>
      <c r="C146" s="1" t="s">
        <v>521</v>
      </c>
      <c r="D146" s="1" t="s">
        <v>103</v>
      </c>
      <c r="E146" s="1">
        <f>SUMIF(الجدول336112[الموديل],D146,الجدول336112[العدد])</f>
        <v>618</v>
      </c>
    </row>
    <row r="147" spans="2:5" x14ac:dyDescent="0.2">
      <c r="B147" s="1" t="s">
        <v>318</v>
      </c>
      <c r="C147" s="1" t="s">
        <v>521</v>
      </c>
      <c r="D147" s="1" t="s">
        <v>104</v>
      </c>
      <c r="E147" s="1">
        <f>SUMIF(الجدول336112[الموديل],D147,الجدول336112[العدد])</f>
        <v>180</v>
      </c>
    </row>
    <row r="148" spans="2:5" x14ac:dyDescent="0.2">
      <c r="B148" s="1" t="s">
        <v>318</v>
      </c>
      <c r="C148" s="1" t="s">
        <v>521</v>
      </c>
      <c r="D148" s="1" t="s">
        <v>105</v>
      </c>
      <c r="E148" s="1">
        <f>SUMIF(الجدول336112[الموديل],D148,الجدول336112[العدد])</f>
        <v>180</v>
      </c>
    </row>
    <row r="149" spans="2:5" x14ac:dyDescent="0.2">
      <c r="B149" s="1" t="s">
        <v>318</v>
      </c>
      <c r="C149" s="1" t="s">
        <v>521</v>
      </c>
      <c r="D149" s="1" t="s">
        <v>106</v>
      </c>
      <c r="E149" s="1">
        <f>SUMIF(الجدول336112[الموديل],D149,الجدول336112[العدد])</f>
        <v>242</v>
      </c>
    </row>
    <row r="150" spans="2:5" x14ac:dyDescent="0.2">
      <c r="B150" s="1" t="s">
        <v>318</v>
      </c>
      <c r="C150" s="1" t="s">
        <v>521</v>
      </c>
      <c r="D150" s="1" t="s">
        <v>107</v>
      </c>
      <c r="E150" s="1">
        <f>SUMIF(الجدول336112[الموديل],D150,الجدول336112[العدد])</f>
        <v>6</v>
      </c>
    </row>
    <row r="151" spans="2:5" x14ac:dyDescent="0.2">
      <c r="B151" s="1" t="s">
        <v>318</v>
      </c>
      <c r="C151" s="1" t="s">
        <v>521</v>
      </c>
      <c r="D151" s="1" t="s">
        <v>100</v>
      </c>
      <c r="E151" s="1">
        <f>SUMIF(الجدول336112[الموديل],D151,الجدول336112[العدد])</f>
        <v>91</v>
      </c>
    </row>
    <row r="152" spans="2:5" x14ac:dyDescent="0.2">
      <c r="B152" s="1" t="s">
        <v>318</v>
      </c>
      <c r="C152" s="1" t="s">
        <v>521</v>
      </c>
      <c r="D152" s="1" t="s">
        <v>108</v>
      </c>
      <c r="E152" s="1">
        <f>SUMIF(الجدول336112[الموديل],D152,الجدول336112[العدد])</f>
        <v>53</v>
      </c>
    </row>
    <row r="153" spans="2:5" x14ac:dyDescent="0.2">
      <c r="B153" s="1" t="s">
        <v>318</v>
      </c>
      <c r="C153" s="1" t="s">
        <v>521</v>
      </c>
      <c r="D153" s="1" t="s">
        <v>109</v>
      </c>
      <c r="E153" s="1">
        <f>SUMIF(الجدول336112[الموديل],D153,الجدول336112[العدد])</f>
        <v>76</v>
      </c>
    </row>
    <row r="154" spans="2:5" x14ac:dyDescent="0.2">
      <c r="B154" s="1" t="s">
        <v>318</v>
      </c>
      <c r="C154" s="1" t="s">
        <v>521</v>
      </c>
      <c r="D154" s="1" t="s">
        <v>110</v>
      </c>
      <c r="E154" s="1">
        <f>SUMIF(الجدول336112[الموديل],D154,الجدول336112[العدد])</f>
        <v>50</v>
      </c>
    </row>
    <row r="155" spans="2:5" x14ac:dyDescent="0.2">
      <c r="B155" s="1" t="s">
        <v>318</v>
      </c>
      <c r="C155" s="1" t="s">
        <v>521</v>
      </c>
      <c r="D155" s="1" t="s">
        <v>111</v>
      </c>
      <c r="E155" s="1">
        <f>SUMIF(الجدول336112[الموديل],D155,الجدول336112[العدد])</f>
        <v>3</v>
      </c>
    </row>
    <row r="156" spans="2:5" x14ac:dyDescent="0.2">
      <c r="B156" s="1" t="s">
        <v>318</v>
      </c>
      <c r="C156" s="1" t="s">
        <v>521</v>
      </c>
      <c r="D156" s="1" t="s">
        <v>112</v>
      </c>
      <c r="E156" s="1">
        <f>SUMIF(الجدول336112[الموديل],D156,الجدول336112[العدد])</f>
        <v>24</v>
      </c>
    </row>
    <row r="157" spans="2:5" x14ac:dyDescent="0.2">
      <c r="B157" s="1" t="s">
        <v>318</v>
      </c>
      <c r="C157" s="1" t="s">
        <v>521</v>
      </c>
      <c r="D157" s="1" t="s">
        <v>113</v>
      </c>
      <c r="E157" s="1">
        <f>SUMIF(الجدول336112[الموديل],D157,الجدول336112[العدد])</f>
        <v>85</v>
      </c>
    </row>
    <row r="158" spans="2:5" x14ac:dyDescent="0.2">
      <c r="B158" s="1" t="s">
        <v>318</v>
      </c>
      <c r="C158" s="1" t="s">
        <v>521</v>
      </c>
      <c r="D158" s="1" t="s">
        <v>114</v>
      </c>
      <c r="E158" s="1">
        <f>SUMIF(الجدول336112[الموديل],D158,الجدول336112[العدد])</f>
        <v>12</v>
      </c>
    </row>
    <row r="159" spans="2:5" x14ac:dyDescent="0.2">
      <c r="B159" s="1" t="s">
        <v>318</v>
      </c>
      <c r="C159" s="1" t="s">
        <v>521</v>
      </c>
      <c r="D159" s="1" t="s">
        <v>115</v>
      </c>
      <c r="E159" s="1">
        <f>SUMIF(الجدول336112[الموديل],D159,الجدول336112[العدد])</f>
        <v>75</v>
      </c>
    </row>
    <row r="160" spans="2:5" x14ac:dyDescent="0.2">
      <c r="B160" s="1" t="s">
        <v>318</v>
      </c>
      <c r="C160" s="1" t="s">
        <v>521</v>
      </c>
      <c r="D160" s="1" t="s">
        <v>116</v>
      </c>
      <c r="E160" s="1">
        <f>SUMIF(الجدول336112[الموديل],D160,الجدول336112[العدد])</f>
        <v>10</v>
      </c>
    </row>
    <row r="161" spans="2:5" x14ac:dyDescent="0.2">
      <c r="B161" s="1" t="s">
        <v>318</v>
      </c>
      <c r="C161" s="1" t="s">
        <v>521</v>
      </c>
      <c r="D161" s="1" t="s">
        <v>117</v>
      </c>
      <c r="E161" s="1">
        <f>SUMIF(الجدول336112[الموديل],D161,الجدول336112[العدد])</f>
        <v>10</v>
      </c>
    </row>
    <row r="162" spans="2:5" x14ac:dyDescent="0.2">
      <c r="B162" s="1" t="s">
        <v>318</v>
      </c>
      <c r="C162" s="1" t="s">
        <v>521</v>
      </c>
      <c r="D162" s="1" t="s">
        <v>118</v>
      </c>
      <c r="E162" s="1">
        <f>SUMIF(الجدول336112[الموديل],D162,الجدول336112[العدد])</f>
        <v>5</v>
      </c>
    </row>
    <row r="163" spans="2:5" x14ac:dyDescent="0.2">
      <c r="B163" s="1" t="s">
        <v>318</v>
      </c>
      <c r="C163" s="1" t="s">
        <v>521</v>
      </c>
      <c r="D163" s="1" t="s">
        <v>119</v>
      </c>
      <c r="E163" s="1">
        <f>SUMIF(الجدول336112[الموديل],D163,الجدول336112[العدد])</f>
        <v>20</v>
      </c>
    </row>
    <row r="164" spans="2:5" x14ac:dyDescent="0.2">
      <c r="B164" s="1" t="s">
        <v>318</v>
      </c>
      <c r="C164" s="1" t="s">
        <v>521</v>
      </c>
      <c r="D164" s="1" t="s">
        <v>120</v>
      </c>
      <c r="E164" s="1">
        <f>SUMIF(الجدول336112[الموديل],D164,الجدول336112[العدد])</f>
        <v>12</v>
      </c>
    </row>
    <row r="165" spans="2:5" x14ac:dyDescent="0.2">
      <c r="B165" s="1" t="s">
        <v>318</v>
      </c>
      <c r="C165" s="1" t="s">
        <v>521</v>
      </c>
      <c r="D165" s="1" t="s">
        <v>121</v>
      </c>
      <c r="E165" s="1">
        <f>SUMIF(الجدول336112[الموديل],D165,الجدول336112[العدد])</f>
        <v>19</v>
      </c>
    </row>
    <row r="166" spans="2:5" x14ac:dyDescent="0.2">
      <c r="B166" s="1" t="s">
        <v>318</v>
      </c>
      <c r="C166" s="1" t="s">
        <v>521</v>
      </c>
      <c r="D166" s="1" t="s">
        <v>122</v>
      </c>
      <c r="E166" s="1">
        <f>SUMIF(الجدول336112[الموديل],D166,الجدول336112[العدد])</f>
        <v>32</v>
      </c>
    </row>
    <row r="167" spans="2:5" x14ac:dyDescent="0.2">
      <c r="B167" s="1" t="s">
        <v>318</v>
      </c>
      <c r="C167" s="1" t="s">
        <v>521</v>
      </c>
      <c r="D167" s="1" t="s">
        <v>123</v>
      </c>
      <c r="E167" s="1">
        <f>SUMIF(الجدول336112[الموديل],D167,الجدول336112[العدد])</f>
        <v>4</v>
      </c>
    </row>
    <row r="168" spans="2:5" x14ac:dyDescent="0.2">
      <c r="B168" s="1" t="s">
        <v>318</v>
      </c>
      <c r="C168" s="1" t="s">
        <v>521</v>
      </c>
      <c r="D168" s="1" t="s">
        <v>124</v>
      </c>
      <c r="E168" s="1">
        <f>SUMIF(الجدول336112[الموديل],D168,الجدول336112[العدد])</f>
        <v>60</v>
      </c>
    </row>
    <row r="169" spans="2:5" x14ac:dyDescent="0.2">
      <c r="B169" s="1" t="s">
        <v>318</v>
      </c>
      <c r="C169" s="1" t="s">
        <v>521</v>
      </c>
      <c r="D169" s="1" t="s">
        <v>125</v>
      </c>
      <c r="E169" s="1">
        <f>SUMIF(الجدول336112[الموديل],D169,الجدول336112[العدد])</f>
        <v>8</v>
      </c>
    </row>
    <row r="170" spans="2:5" x14ac:dyDescent="0.2">
      <c r="B170" s="1" t="s">
        <v>318</v>
      </c>
      <c r="C170" s="1" t="s">
        <v>521</v>
      </c>
      <c r="D170" s="1" t="s">
        <v>126</v>
      </c>
      <c r="E170" s="1">
        <f>SUMIF(الجدول336112[الموديل],D170,الجدول336112[العدد])</f>
        <v>20</v>
      </c>
    </row>
    <row r="171" spans="2:5" x14ac:dyDescent="0.2">
      <c r="B171" s="1" t="s">
        <v>318</v>
      </c>
      <c r="C171" s="1" t="s">
        <v>521</v>
      </c>
      <c r="D171" s="1" t="s">
        <v>127</v>
      </c>
      <c r="E171" s="1">
        <f>SUMIF(الجدول336112[الموديل],D171,الجدول336112[العدد])</f>
        <v>12</v>
      </c>
    </row>
    <row r="172" spans="2:5" x14ac:dyDescent="0.2">
      <c r="B172" s="1" t="s">
        <v>318</v>
      </c>
      <c r="C172" s="1" t="s">
        <v>521</v>
      </c>
      <c r="D172" s="1" t="s">
        <v>128</v>
      </c>
      <c r="E172" s="1">
        <f>SUMIF(الجدول336112[الموديل],D172,الجدول336112[العدد])</f>
        <v>4</v>
      </c>
    </row>
    <row r="173" spans="2:5" x14ac:dyDescent="0.2">
      <c r="B173" s="1" t="s">
        <v>318</v>
      </c>
      <c r="C173" s="1" t="s">
        <v>521</v>
      </c>
      <c r="D173" s="1" t="s">
        <v>130</v>
      </c>
      <c r="E173" s="1">
        <f>SUMIF(الجدول336112[الموديل],D173,الجدول336112[العدد])</f>
        <v>20</v>
      </c>
    </row>
    <row r="174" spans="2:5" x14ac:dyDescent="0.2">
      <c r="B174" s="1" t="s">
        <v>318</v>
      </c>
      <c r="C174" s="1" t="s">
        <v>521</v>
      </c>
      <c r="D174" s="1" t="s">
        <v>131</v>
      </c>
      <c r="E174" s="1">
        <f>SUMIF(الجدول336112[الموديل],D174,الجدول336112[العدد])</f>
        <v>4</v>
      </c>
    </row>
    <row r="175" spans="2:5" x14ac:dyDescent="0.2">
      <c r="B175" s="1" t="s">
        <v>318</v>
      </c>
      <c r="C175" s="1" t="s">
        <v>521</v>
      </c>
      <c r="D175" s="1" t="s">
        <v>129</v>
      </c>
      <c r="E175" s="1">
        <f>SUMIF(الجدول336112[الموديل],D175,الجدول336112[العدد])</f>
        <v>24</v>
      </c>
    </row>
    <row r="176" spans="2:5" x14ac:dyDescent="0.2">
      <c r="B176" s="1" t="s">
        <v>318</v>
      </c>
      <c r="C176" s="1" t="s">
        <v>521</v>
      </c>
      <c r="D176" s="1" t="s">
        <v>132</v>
      </c>
      <c r="E176" s="1">
        <f>SUMIF(الجدول336112[الموديل],D176,الجدول336112[العدد])</f>
        <v>18</v>
      </c>
    </row>
    <row r="177" spans="2:5" x14ac:dyDescent="0.2">
      <c r="B177" s="1" t="s">
        <v>318</v>
      </c>
      <c r="C177" s="1" t="s">
        <v>521</v>
      </c>
      <c r="D177" s="1" t="s">
        <v>133</v>
      </c>
      <c r="E177" s="1">
        <f>SUMIF(الجدول336112[الموديل],D177,الجدول336112[العدد])</f>
        <v>100</v>
      </c>
    </row>
    <row r="178" spans="2:5" x14ac:dyDescent="0.2">
      <c r="B178" s="1" t="s">
        <v>318</v>
      </c>
      <c r="C178" s="1" t="s">
        <v>521</v>
      </c>
      <c r="D178" s="1" t="s">
        <v>134</v>
      </c>
      <c r="E178" s="1">
        <f>SUMIF(الجدول336112[الموديل],D178,الجدول336112[العدد])</f>
        <v>31</v>
      </c>
    </row>
    <row r="179" spans="2:5" x14ac:dyDescent="0.2">
      <c r="B179" s="1" t="s">
        <v>318</v>
      </c>
      <c r="C179" s="1" t="s">
        <v>521</v>
      </c>
      <c r="D179" s="1" t="s">
        <v>135</v>
      </c>
      <c r="E179" s="1">
        <f>SUMIF(الجدول336112[الموديل],D179,الجدول336112[العدد])</f>
        <v>4</v>
      </c>
    </row>
    <row r="180" spans="2:5" x14ac:dyDescent="0.2">
      <c r="B180" s="1" t="s">
        <v>318</v>
      </c>
      <c r="C180" s="1" t="s">
        <v>521</v>
      </c>
      <c r="D180" s="1" t="s">
        <v>136</v>
      </c>
      <c r="E180" s="1">
        <f>SUMIF(الجدول336112[الموديل],D180,الجدول336112[العدد])</f>
        <v>8</v>
      </c>
    </row>
    <row r="181" spans="2:5" x14ac:dyDescent="0.2">
      <c r="B181" s="1" t="s">
        <v>318</v>
      </c>
      <c r="C181" s="1" t="s">
        <v>521</v>
      </c>
      <c r="D181" s="1" t="s">
        <v>137</v>
      </c>
      <c r="E181" s="1">
        <f>SUMIF(الجدول336112[الموديل],D181,الجدول336112[العدد])</f>
        <v>14</v>
      </c>
    </row>
    <row r="182" spans="2:5" x14ac:dyDescent="0.2">
      <c r="B182" s="1" t="s">
        <v>318</v>
      </c>
      <c r="C182" s="1" t="s">
        <v>521</v>
      </c>
      <c r="D182" s="1" t="s">
        <v>138</v>
      </c>
      <c r="E182" s="1">
        <f>SUMIF(الجدول336112[الموديل],D182,الجدول336112[العدد])</f>
        <v>30</v>
      </c>
    </row>
    <row r="183" spans="2:5" x14ac:dyDescent="0.2">
      <c r="B183" s="1" t="s">
        <v>318</v>
      </c>
      <c r="C183" s="1" t="s">
        <v>521</v>
      </c>
      <c r="D183" s="1" t="s">
        <v>139</v>
      </c>
      <c r="E183" s="1">
        <f>SUMIF(الجدول336112[الموديل],D183,الجدول336112[العدد])</f>
        <v>4</v>
      </c>
    </row>
    <row r="184" spans="2:5" x14ac:dyDescent="0.2">
      <c r="B184" s="1" t="s">
        <v>318</v>
      </c>
      <c r="C184" s="1" t="s">
        <v>521</v>
      </c>
      <c r="D184" s="1" t="s">
        <v>140</v>
      </c>
      <c r="E184" s="1">
        <f>SUMIF(الجدول336112[الموديل],D184,الجدول336112[العدد])</f>
        <v>17</v>
      </c>
    </row>
    <row r="185" spans="2:5" x14ac:dyDescent="0.2">
      <c r="B185" s="1" t="s">
        <v>318</v>
      </c>
      <c r="C185" s="1" t="s">
        <v>521</v>
      </c>
      <c r="D185" s="1" t="s">
        <v>141</v>
      </c>
      <c r="E185" s="1">
        <f>SUMIF(الجدول336112[الموديل],D185,الجدول336112[العدد])</f>
        <v>2</v>
      </c>
    </row>
    <row r="186" spans="2:5" x14ac:dyDescent="0.2">
      <c r="B186" s="1" t="s">
        <v>318</v>
      </c>
      <c r="C186" s="1" t="s">
        <v>521</v>
      </c>
      <c r="D186" s="1" t="s">
        <v>142</v>
      </c>
      <c r="E186" s="1">
        <f>SUMIF(الجدول336112[الموديل],D186,الجدول336112[العدد])</f>
        <v>50</v>
      </c>
    </row>
    <row r="187" spans="2:5" x14ac:dyDescent="0.2">
      <c r="B187" s="1" t="s">
        <v>318</v>
      </c>
      <c r="C187" s="1" t="s">
        <v>521</v>
      </c>
      <c r="D187" s="1" t="s">
        <v>144</v>
      </c>
      <c r="E187" s="1">
        <f>SUMIF(الجدول336112[الموديل],D187,الجدول336112[العدد])</f>
        <v>30</v>
      </c>
    </row>
    <row r="188" spans="2:5" x14ac:dyDescent="0.2">
      <c r="B188" s="1" t="s">
        <v>318</v>
      </c>
      <c r="C188" s="1" t="s">
        <v>521</v>
      </c>
      <c r="D188" s="1" t="s">
        <v>145</v>
      </c>
      <c r="E188" s="1">
        <f>SUMIF(الجدول336112[الموديل],D188,الجدول336112[العدد])</f>
        <v>2</v>
      </c>
    </row>
    <row r="189" spans="2:5" x14ac:dyDescent="0.2">
      <c r="B189" s="1" t="s">
        <v>318</v>
      </c>
      <c r="C189" s="1" t="s">
        <v>521</v>
      </c>
      <c r="D189" s="1" t="s">
        <v>146</v>
      </c>
      <c r="E189" s="1">
        <f>SUMIF(الجدول336112[الموديل],D189,الجدول336112[العدد])</f>
        <v>5</v>
      </c>
    </row>
    <row r="190" spans="2:5" x14ac:dyDescent="0.2">
      <c r="B190" s="1" t="s">
        <v>318</v>
      </c>
      <c r="C190" s="1" t="s">
        <v>521</v>
      </c>
      <c r="D190" s="1" t="s">
        <v>147</v>
      </c>
      <c r="E190" s="1">
        <f>SUMIF(الجدول336112[الموديل],D190,الجدول336112[العدد])</f>
        <v>26</v>
      </c>
    </row>
    <row r="191" spans="2:5" x14ac:dyDescent="0.2">
      <c r="B191" s="1" t="s">
        <v>318</v>
      </c>
      <c r="C191" s="1" t="s">
        <v>521</v>
      </c>
      <c r="D191" s="1" t="s">
        <v>148</v>
      </c>
      <c r="E191" s="1">
        <f>SUMIF(الجدول336112[الموديل],D191,الجدول336112[العدد])</f>
        <v>35</v>
      </c>
    </row>
    <row r="192" spans="2:5" x14ac:dyDescent="0.2">
      <c r="B192" s="1" t="s">
        <v>318</v>
      </c>
      <c r="C192" s="1" t="s">
        <v>521</v>
      </c>
      <c r="D192" s="1" t="s">
        <v>149</v>
      </c>
      <c r="E192" s="1">
        <f>SUMIF(الجدول336112[الموديل],D192,الجدول336112[العدد])</f>
        <v>14</v>
      </c>
    </row>
    <row r="193" spans="2:5" x14ac:dyDescent="0.2">
      <c r="B193" s="1" t="s">
        <v>318</v>
      </c>
      <c r="C193" s="1" t="s">
        <v>521</v>
      </c>
      <c r="D193" s="1" t="s">
        <v>150</v>
      </c>
      <c r="E193" s="1">
        <f>SUMIF(الجدول336112[الموديل],D193,الجدول336112[العدد])</f>
        <v>29</v>
      </c>
    </row>
    <row r="194" spans="2:5" x14ac:dyDescent="0.2">
      <c r="B194" s="1" t="s">
        <v>318</v>
      </c>
      <c r="C194" s="1" t="s">
        <v>521</v>
      </c>
      <c r="D194" s="1" t="s">
        <v>151</v>
      </c>
      <c r="E194" s="1">
        <f>SUMIF(الجدول336112[الموديل],D194,الجدول336112[العدد])</f>
        <v>54</v>
      </c>
    </row>
    <row r="195" spans="2:5" x14ac:dyDescent="0.2">
      <c r="B195" s="1" t="s">
        <v>318</v>
      </c>
      <c r="C195" s="1" t="s">
        <v>521</v>
      </c>
      <c r="D195" s="1" t="s">
        <v>152</v>
      </c>
      <c r="E195" s="1">
        <f>SUMIF(الجدول336112[الموديل],D195,الجدول336112[العدد])</f>
        <v>98</v>
      </c>
    </row>
    <row r="196" spans="2:5" x14ac:dyDescent="0.2">
      <c r="B196" s="1" t="s">
        <v>318</v>
      </c>
      <c r="C196" s="1" t="s">
        <v>521</v>
      </c>
      <c r="D196" s="1" t="s">
        <v>153</v>
      </c>
      <c r="E196" s="1">
        <f>SUMIF(الجدول336112[الموديل],D196,الجدول336112[العدد])</f>
        <v>96</v>
      </c>
    </row>
    <row r="197" spans="2:5" x14ac:dyDescent="0.2">
      <c r="B197" s="1" t="s">
        <v>318</v>
      </c>
      <c r="C197" s="1" t="s">
        <v>521</v>
      </c>
      <c r="D197" s="1" t="s">
        <v>154</v>
      </c>
      <c r="E197" s="1">
        <f>SUMIF(الجدول336112[الموديل],D197,الجدول336112[العدد])</f>
        <v>96</v>
      </c>
    </row>
    <row r="198" spans="2:5" x14ac:dyDescent="0.2">
      <c r="B198" s="1" t="s">
        <v>318</v>
      </c>
      <c r="C198" s="1" t="s">
        <v>521</v>
      </c>
      <c r="D198" s="1" t="s">
        <v>155</v>
      </c>
      <c r="E198" s="1">
        <f>SUMIF(الجدول336112[الموديل],D198,الجدول336112[العدد])</f>
        <v>3</v>
      </c>
    </row>
    <row r="199" spans="2:5" x14ac:dyDescent="0.2">
      <c r="B199" s="1" t="s">
        <v>318</v>
      </c>
      <c r="C199" s="1" t="s">
        <v>521</v>
      </c>
      <c r="D199" s="1" t="s">
        <v>156</v>
      </c>
      <c r="E199" s="1">
        <f>SUMIF(الجدول336112[الموديل],D199,الجدول336112[العدد])</f>
        <v>62</v>
      </c>
    </row>
    <row r="200" spans="2:5" x14ac:dyDescent="0.2">
      <c r="B200" s="1" t="s">
        <v>318</v>
      </c>
      <c r="C200" s="1" t="s">
        <v>521</v>
      </c>
      <c r="D200" s="1" t="s">
        <v>143</v>
      </c>
      <c r="E200" s="1">
        <f>SUMIF(الجدول336112[الموديل],D200,الجدول336112[العدد])</f>
        <v>241</v>
      </c>
    </row>
    <row r="201" spans="2:5" x14ac:dyDescent="0.2">
      <c r="B201" s="1" t="s">
        <v>318</v>
      </c>
      <c r="C201" s="1" t="s">
        <v>521</v>
      </c>
      <c r="D201" s="1" t="s">
        <v>157</v>
      </c>
      <c r="E201" s="1">
        <f>SUMIF(الجدول336112[الموديل],D201,الجدول336112[العدد])</f>
        <v>185</v>
      </c>
    </row>
    <row r="202" spans="2:5" x14ac:dyDescent="0.2">
      <c r="B202" s="1" t="s">
        <v>318</v>
      </c>
      <c r="C202" s="1" t="s">
        <v>521</v>
      </c>
      <c r="D202" s="1" t="s">
        <v>158</v>
      </c>
      <c r="E202" s="1">
        <f>SUMIF(الجدول336112[الموديل],D202,الجدول336112[العدد])</f>
        <v>20</v>
      </c>
    </row>
    <row r="203" spans="2:5" x14ac:dyDescent="0.2">
      <c r="B203" s="1" t="s">
        <v>318</v>
      </c>
      <c r="C203" s="1" t="s">
        <v>521</v>
      </c>
      <c r="D203" s="1" t="s">
        <v>159</v>
      </c>
      <c r="E203" s="1">
        <f>SUMIF(الجدول336112[الموديل],D203,الجدول336112[العدد])</f>
        <v>37</v>
      </c>
    </row>
    <row r="204" spans="2:5" x14ac:dyDescent="0.2">
      <c r="B204" s="1" t="s">
        <v>318</v>
      </c>
      <c r="C204" s="1" t="s">
        <v>521</v>
      </c>
      <c r="D204" s="1" t="s">
        <v>160</v>
      </c>
      <c r="E204" s="1">
        <f>SUMIF(الجدول336112[الموديل],D204,الجدول336112[العدد])</f>
        <v>36</v>
      </c>
    </row>
    <row r="205" spans="2:5" x14ac:dyDescent="0.2">
      <c r="B205" s="1" t="s">
        <v>318</v>
      </c>
      <c r="C205" s="1" t="s">
        <v>521</v>
      </c>
      <c r="D205" s="1" t="s">
        <v>161</v>
      </c>
      <c r="E205" s="1">
        <f>SUMIF(الجدول336112[الموديل],D205,الجدول336112[العدد])</f>
        <v>5</v>
      </c>
    </row>
    <row r="206" spans="2:5" x14ac:dyDescent="0.2">
      <c r="B206" s="1" t="s">
        <v>318</v>
      </c>
      <c r="C206" s="1" t="s">
        <v>521</v>
      </c>
      <c r="D206" s="1" t="s">
        <v>162</v>
      </c>
      <c r="E206" s="1">
        <f>SUMIF(الجدول336112[الموديل],D206,الجدول336112[العدد])</f>
        <v>13</v>
      </c>
    </row>
    <row r="207" spans="2:5" x14ac:dyDescent="0.2">
      <c r="B207" s="1" t="s">
        <v>318</v>
      </c>
      <c r="C207" s="1" t="s">
        <v>521</v>
      </c>
      <c r="D207" s="1" t="s">
        <v>163</v>
      </c>
      <c r="E207" s="1">
        <f>SUMIF(الجدول336112[الموديل],D207,الجدول336112[العدد])</f>
        <v>8</v>
      </c>
    </row>
    <row r="208" spans="2:5" x14ac:dyDescent="0.2">
      <c r="B208" s="1" t="s">
        <v>318</v>
      </c>
      <c r="C208" s="1" t="s">
        <v>521</v>
      </c>
      <c r="D208" s="1" t="s">
        <v>164</v>
      </c>
      <c r="E208" s="1">
        <f>SUMIF(الجدول336112[الموديل],D208,الجدول336112[العدد])</f>
        <v>24</v>
      </c>
    </row>
    <row r="209" spans="2:5" x14ac:dyDescent="0.2">
      <c r="B209" s="1" t="s">
        <v>318</v>
      </c>
      <c r="C209" s="1" t="s">
        <v>521</v>
      </c>
      <c r="D209" s="1" t="s">
        <v>165</v>
      </c>
      <c r="E209" s="1">
        <f>SUMIF(الجدول336112[الموديل],D209,الجدول336112[العدد])</f>
        <v>7</v>
      </c>
    </row>
    <row r="210" spans="2:5" x14ac:dyDescent="0.2">
      <c r="B210" s="1" t="s">
        <v>318</v>
      </c>
      <c r="C210" s="1" t="s">
        <v>521</v>
      </c>
      <c r="D210" s="1" t="s">
        <v>166</v>
      </c>
      <c r="E210" s="1">
        <f>SUMIF(الجدول336112[الموديل],D210,الجدول336112[العدد])</f>
        <v>26</v>
      </c>
    </row>
    <row r="211" spans="2:5" x14ac:dyDescent="0.2">
      <c r="B211" s="1" t="s">
        <v>318</v>
      </c>
      <c r="C211" s="1" t="s">
        <v>521</v>
      </c>
      <c r="D211" s="1" t="s">
        <v>167</v>
      </c>
      <c r="E211" s="1">
        <f>SUMIF(الجدول336112[الموديل],D211,الجدول336112[العدد])</f>
        <v>9</v>
      </c>
    </row>
    <row r="212" spans="2:5" x14ac:dyDescent="0.2">
      <c r="B212" s="1" t="s">
        <v>318</v>
      </c>
      <c r="C212" s="1" t="s">
        <v>521</v>
      </c>
      <c r="D212" s="1" t="s">
        <v>168</v>
      </c>
      <c r="E212" s="1">
        <f>SUMIF(الجدول336112[الموديل],D212,الجدول336112[العدد])</f>
        <v>6</v>
      </c>
    </row>
    <row r="213" spans="2:5" x14ac:dyDescent="0.2">
      <c r="B213" s="1" t="s">
        <v>318</v>
      </c>
      <c r="C213" s="1" t="s">
        <v>521</v>
      </c>
      <c r="D213" s="1" t="s">
        <v>169</v>
      </c>
      <c r="E213" s="1">
        <f>SUMIF(الجدول336112[الموديل],D213,الجدول336112[العدد])</f>
        <v>4</v>
      </c>
    </row>
    <row r="214" spans="2:5" x14ac:dyDescent="0.2">
      <c r="B214" s="1" t="s">
        <v>318</v>
      </c>
      <c r="C214" s="1" t="s">
        <v>521</v>
      </c>
      <c r="D214" s="1" t="s">
        <v>170</v>
      </c>
      <c r="E214" s="1">
        <f>SUMIF(الجدول336112[الموديل],D214,الجدول336112[العدد])</f>
        <v>10</v>
      </c>
    </row>
    <row r="215" spans="2:5" x14ac:dyDescent="0.2">
      <c r="B215" s="1" t="s">
        <v>318</v>
      </c>
      <c r="C215" s="1" t="s">
        <v>521</v>
      </c>
      <c r="D215" s="1" t="s">
        <v>171</v>
      </c>
      <c r="E215" s="1">
        <f>SUMIF(الجدول336112[الموديل],D215,الجدول336112[العدد])</f>
        <v>5</v>
      </c>
    </row>
    <row r="216" spans="2:5" x14ac:dyDescent="0.2">
      <c r="B216" s="1" t="s">
        <v>318</v>
      </c>
      <c r="C216" s="1" t="s">
        <v>521</v>
      </c>
      <c r="D216" s="1" t="s">
        <v>172</v>
      </c>
      <c r="E216" s="1">
        <f>SUMIF(الجدول336112[الموديل],D216,الجدول336112[العدد])</f>
        <v>4</v>
      </c>
    </row>
    <row r="217" spans="2:5" x14ac:dyDescent="0.2">
      <c r="B217" s="1" t="s">
        <v>318</v>
      </c>
      <c r="C217" s="1" t="s">
        <v>521</v>
      </c>
      <c r="D217" s="1" t="s">
        <v>283</v>
      </c>
      <c r="E217" s="1">
        <f>SUMIF(الجدول336112[الموديل],D217,الجدول336112[العدد])</f>
        <v>0</v>
      </c>
    </row>
    <row r="218" spans="2:5" x14ac:dyDescent="0.2">
      <c r="B218" s="1" t="s">
        <v>318</v>
      </c>
      <c r="C218" s="1" t="s">
        <v>521</v>
      </c>
      <c r="D218" s="1" t="s">
        <v>284</v>
      </c>
      <c r="E218" s="1">
        <f>SUMIF(الجدول336112[الموديل],D218,الجدول336112[العدد])</f>
        <v>5000</v>
      </c>
    </row>
    <row r="219" spans="2:5" x14ac:dyDescent="0.2">
      <c r="B219" s="1" t="s">
        <v>318</v>
      </c>
      <c r="C219" s="1" t="s">
        <v>521</v>
      </c>
      <c r="D219" s="1" t="s">
        <v>285</v>
      </c>
      <c r="E219" s="1">
        <f>SUMIF(الجدول336112[الموديل],D219,الجدول336112[العدد])</f>
        <v>2500</v>
      </c>
    </row>
    <row r="220" spans="2:5" x14ac:dyDescent="0.2">
      <c r="B220" s="1" t="s">
        <v>318</v>
      </c>
      <c r="C220" s="1" t="s">
        <v>521</v>
      </c>
      <c r="D220" s="1" t="s">
        <v>286</v>
      </c>
      <c r="E220" s="1">
        <f>SUMIF(الجدول336112[الموديل],D220,الجدول336112[العدد])</f>
        <v>2500</v>
      </c>
    </row>
    <row r="221" spans="2:5" x14ac:dyDescent="0.2">
      <c r="B221" s="1" t="s">
        <v>318</v>
      </c>
      <c r="C221" s="1" t="s">
        <v>521</v>
      </c>
      <c r="D221" s="1" t="s">
        <v>287</v>
      </c>
      <c r="E221" s="1">
        <f>SUMIF(الجدول336112[الموديل],D221,الجدول336112[العدد])</f>
        <v>250</v>
      </c>
    </row>
    <row r="222" spans="2:5" x14ac:dyDescent="0.2">
      <c r="B222" s="1" t="s">
        <v>318</v>
      </c>
      <c r="C222" s="1" t="s">
        <v>521</v>
      </c>
      <c r="D222" s="1" t="s">
        <v>288</v>
      </c>
      <c r="E222" s="1">
        <f>SUMIF(الجدول336112[الموديل],D222,الجدول336112[العدد])</f>
        <v>250</v>
      </c>
    </row>
    <row r="223" spans="2:5" x14ac:dyDescent="0.2">
      <c r="B223" s="1" t="s">
        <v>318</v>
      </c>
      <c r="C223" s="1" t="s">
        <v>521</v>
      </c>
      <c r="D223" s="1" t="s">
        <v>289</v>
      </c>
      <c r="E223" s="1">
        <f>SUMIF(الجدول336112[الموديل],D223,الجدول336112[العدد])</f>
        <v>500</v>
      </c>
    </row>
    <row r="224" spans="2:5" x14ac:dyDescent="0.2">
      <c r="B224" s="1" t="s">
        <v>318</v>
      </c>
      <c r="C224" s="1" t="s">
        <v>521</v>
      </c>
      <c r="D224" s="1" t="s">
        <v>290</v>
      </c>
      <c r="E224" s="1">
        <f>SUMIF(الجدول336112[الموديل],D224,الجدول336112[العدد])</f>
        <v>500</v>
      </c>
    </row>
    <row r="225" spans="2:5" x14ac:dyDescent="0.2">
      <c r="B225" s="1" t="s">
        <v>318</v>
      </c>
      <c r="C225" s="1" t="s">
        <v>521</v>
      </c>
      <c r="D225" s="1" t="s">
        <v>291</v>
      </c>
      <c r="E225" s="1">
        <f>SUMIF(الجدول336112[الموديل],D225,الجدول336112[العدد])</f>
        <v>250</v>
      </c>
    </row>
    <row r="226" spans="2:5" x14ac:dyDescent="0.2">
      <c r="B226" s="1" t="s">
        <v>318</v>
      </c>
      <c r="C226" s="1" t="s">
        <v>295</v>
      </c>
      <c r="D226" s="1" t="s">
        <v>479</v>
      </c>
      <c r="E226" s="1">
        <f>SUMIF(الجدول336112[الموديل],D226,الجدول336112[العدد])</f>
        <v>29</v>
      </c>
    </row>
    <row r="227" spans="2:5" x14ac:dyDescent="0.2">
      <c r="B227" s="1" t="s">
        <v>319</v>
      </c>
      <c r="C227" s="1" t="s">
        <v>296</v>
      </c>
      <c r="D227" s="1" t="s">
        <v>173</v>
      </c>
      <c r="E227" s="1">
        <f>SUMIF(الجدول336112[الموديل],D227,الجدول336112[العدد])</f>
        <v>0</v>
      </c>
    </row>
    <row r="228" spans="2:5" x14ac:dyDescent="0.2">
      <c r="B228" s="1" t="s">
        <v>319</v>
      </c>
      <c r="C228" s="1" t="s">
        <v>296</v>
      </c>
      <c r="D228" s="1" t="s">
        <v>174</v>
      </c>
      <c r="E228" s="1">
        <f>SUMIF(الجدول336112[الموديل],D228,الجدول336112[العدد])</f>
        <v>2500</v>
      </c>
    </row>
    <row r="229" spans="2:5" x14ac:dyDescent="0.2">
      <c r="B229" s="1" t="s">
        <v>319</v>
      </c>
      <c r="C229" s="1" t="s">
        <v>296</v>
      </c>
      <c r="D229" s="1" t="s">
        <v>175</v>
      </c>
      <c r="E229" s="1">
        <f>SUMIF(الجدول336112[الموديل],D229,الجدول336112[العدد])</f>
        <v>0</v>
      </c>
    </row>
    <row r="230" spans="2:5" x14ac:dyDescent="0.2">
      <c r="B230" s="1" t="s">
        <v>319</v>
      </c>
      <c r="C230" s="1" t="s">
        <v>296</v>
      </c>
      <c r="D230" s="1" t="s">
        <v>176</v>
      </c>
      <c r="E230" s="1">
        <f>SUMIF(الجدول336112[الموديل],D230,الجدول336112[العدد])</f>
        <v>2500</v>
      </c>
    </row>
    <row r="231" spans="2:5" x14ac:dyDescent="0.2">
      <c r="B231" s="1" t="s">
        <v>319</v>
      </c>
      <c r="C231" s="1" t="s">
        <v>296</v>
      </c>
      <c r="D231" s="1" t="s">
        <v>177</v>
      </c>
      <c r="E231" s="1">
        <f>SUMIF(الجدول336112[الموديل],D231,الجدول336112[العدد])</f>
        <v>0</v>
      </c>
    </row>
    <row r="232" spans="2:5" x14ac:dyDescent="0.2">
      <c r="B232" s="1" t="s">
        <v>319</v>
      </c>
      <c r="C232" s="1" t="s">
        <v>296</v>
      </c>
      <c r="D232" s="1" t="s">
        <v>178</v>
      </c>
      <c r="E232" s="1">
        <f>SUMIF(الجدول336112[الموديل],D232,الجدول336112[العدد])</f>
        <v>0</v>
      </c>
    </row>
    <row r="233" spans="2:5" x14ac:dyDescent="0.2">
      <c r="B233" s="1" t="s">
        <v>319</v>
      </c>
      <c r="C233" s="1" t="s">
        <v>296</v>
      </c>
      <c r="D233" s="1" t="s">
        <v>179</v>
      </c>
      <c r="E233" s="1">
        <f>SUMIF(الجدول336112[الموديل],D233,الجدول336112[العدد])</f>
        <v>0</v>
      </c>
    </row>
    <row r="234" spans="2:5" x14ac:dyDescent="0.2">
      <c r="B234" s="1" t="s">
        <v>319</v>
      </c>
      <c r="C234" s="1" t="s">
        <v>296</v>
      </c>
      <c r="D234" s="1" t="s">
        <v>180</v>
      </c>
      <c r="E234" s="1">
        <f>SUMIF(الجدول336112[الموديل],D234,الجدول336112[العدد])</f>
        <v>0</v>
      </c>
    </row>
    <row r="235" spans="2:5" x14ac:dyDescent="0.2">
      <c r="B235" s="1" t="s">
        <v>319</v>
      </c>
      <c r="C235" s="1" t="s">
        <v>296</v>
      </c>
      <c r="D235" s="1" t="s">
        <v>292</v>
      </c>
      <c r="E235" s="1">
        <f>SUMIF(الجدول336112[الموديل],D235,الجدول336112[العدد])</f>
        <v>0</v>
      </c>
    </row>
    <row r="236" spans="2:5" x14ac:dyDescent="0.2">
      <c r="B236" s="1" t="s">
        <v>319</v>
      </c>
      <c r="C236" s="1" t="s">
        <v>296</v>
      </c>
      <c r="D236" s="1" t="s">
        <v>441</v>
      </c>
      <c r="E236" s="1">
        <f>SUMIF(الجدول336112[الموديل],D236,الجدول336112[العدد])</f>
        <v>2500</v>
      </c>
    </row>
    <row r="237" spans="2:5" x14ac:dyDescent="0.2">
      <c r="B237" s="1" t="s">
        <v>319</v>
      </c>
      <c r="C237" s="1" t="s">
        <v>296</v>
      </c>
      <c r="D237" s="1" t="s">
        <v>446</v>
      </c>
      <c r="E237" s="1">
        <f>SUMIF(الجدول336112[الموديل],D237,الجدول336112[العدد])</f>
        <v>500</v>
      </c>
    </row>
    <row r="238" spans="2:5" x14ac:dyDescent="0.2">
      <c r="B238" s="1" t="s">
        <v>319</v>
      </c>
      <c r="C238" s="1" t="s">
        <v>296</v>
      </c>
      <c r="D238" s="1" t="s">
        <v>452</v>
      </c>
      <c r="E238" s="1">
        <f>SUMIF(الجدول336112[الموديل],D238,الجدول336112[العدد])</f>
        <v>5000</v>
      </c>
    </row>
    <row r="239" spans="2:5" x14ac:dyDescent="0.2">
      <c r="B239" s="1" t="s">
        <v>320</v>
      </c>
      <c r="C239" s="1" t="s">
        <v>297</v>
      </c>
      <c r="D239" s="1" t="s">
        <v>181</v>
      </c>
      <c r="E239" s="1">
        <f>SUMIF(الجدول336112[الموديل],D239,الجدول336112[العدد])</f>
        <v>10</v>
      </c>
    </row>
    <row r="240" spans="2:5" x14ac:dyDescent="0.2">
      <c r="B240" s="1" t="s">
        <v>320</v>
      </c>
      <c r="C240" s="1" t="s">
        <v>297</v>
      </c>
      <c r="D240" s="1" t="s">
        <v>182</v>
      </c>
      <c r="E240" s="1">
        <f>SUMIF(الجدول336112[الموديل],D240,الجدول336112[العدد])</f>
        <v>3</v>
      </c>
    </row>
    <row r="241" spans="2:5" x14ac:dyDescent="0.2">
      <c r="B241" s="1" t="s">
        <v>320</v>
      </c>
      <c r="C241" s="1" t="s">
        <v>297</v>
      </c>
      <c r="D241" s="1" t="s">
        <v>183</v>
      </c>
      <c r="E241" s="1">
        <f>SUMIF(الجدول336112[الموديل],D241,الجدول336112[العدد])</f>
        <v>41</v>
      </c>
    </row>
    <row r="242" spans="2:5" x14ac:dyDescent="0.2">
      <c r="B242" s="1" t="s">
        <v>320</v>
      </c>
      <c r="C242" s="1" t="s">
        <v>297</v>
      </c>
      <c r="D242" s="1" t="s">
        <v>184</v>
      </c>
      <c r="E242" s="1">
        <f>SUMIF(الجدول336112[الموديل],D242,الجدول336112[العدد])</f>
        <v>30</v>
      </c>
    </row>
    <row r="243" spans="2:5" x14ac:dyDescent="0.2">
      <c r="B243" s="1" t="s">
        <v>320</v>
      </c>
      <c r="C243" s="1" t="s">
        <v>297</v>
      </c>
      <c r="D243" s="1" t="s">
        <v>185</v>
      </c>
      <c r="E243" s="1">
        <f>SUMIF(الجدول336112[الموديل],D243,الجدول336112[العدد])</f>
        <v>5</v>
      </c>
    </row>
    <row r="244" spans="2:5" x14ac:dyDescent="0.2">
      <c r="B244" s="1" t="s">
        <v>320</v>
      </c>
      <c r="C244" s="1" t="s">
        <v>297</v>
      </c>
      <c r="D244" s="1" t="s">
        <v>186</v>
      </c>
      <c r="E244" s="1">
        <f>SUMIF(الجدول336112[الموديل],D244,الجدول336112[العدد])</f>
        <v>51</v>
      </c>
    </row>
    <row r="245" spans="2:5" x14ac:dyDescent="0.2">
      <c r="B245" s="1" t="s">
        <v>320</v>
      </c>
      <c r="C245" s="1" t="s">
        <v>297</v>
      </c>
      <c r="D245" s="1" t="s">
        <v>187</v>
      </c>
      <c r="E245" s="1">
        <f>SUMIF(الجدول336112[الموديل],D245,الجدول336112[العدد])</f>
        <v>1</v>
      </c>
    </row>
    <row r="246" spans="2:5" x14ac:dyDescent="0.2">
      <c r="B246" s="1" t="s">
        <v>320</v>
      </c>
      <c r="C246" s="1" t="s">
        <v>297</v>
      </c>
      <c r="D246" s="1" t="s">
        <v>188</v>
      </c>
      <c r="E246" s="1">
        <f>SUMIF(الجدول336112[الموديل],D246,الجدول336112[العدد])</f>
        <v>3</v>
      </c>
    </row>
    <row r="247" spans="2:5" x14ac:dyDescent="0.2">
      <c r="B247" s="1" t="s">
        <v>320</v>
      </c>
      <c r="C247" s="1" t="s">
        <v>297</v>
      </c>
      <c r="D247" s="1" t="s">
        <v>189</v>
      </c>
      <c r="E247" s="1">
        <f>SUMIF(الجدول336112[الموديل],D247,الجدول336112[العدد])</f>
        <v>0</v>
      </c>
    </row>
    <row r="248" spans="2:5" x14ac:dyDescent="0.2">
      <c r="B248" s="1" t="s">
        <v>320</v>
      </c>
      <c r="C248" s="1" t="s">
        <v>297</v>
      </c>
      <c r="D248" s="1" t="s">
        <v>190</v>
      </c>
      <c r="E248" s="1">
        <f>SUMIF(الجدول336112[الموديل],D248,الجدول336112[العدد])</f>
        <v>47</v>
      </c>
    </row>
    <row r="249" spans="2:5" x14ac:dyDescent="0.2">
      <c r="B249" s="1" t="s">
        <v>320</v>
      </c>
      <c r="C249" s="1" t="s">
        <v>297</v>
      </c>
      <c r="D249" s="1" t="s">
        <v>277</v>
      </c>
      <c r="E249" s="1">
        <f>SUMIF(الجدول336112[الموديل],D249,الجدول336112[العدد])</f>
        <v>0</v>
      </c>
    </row>
    <row r="250" spans="2:5" x14ac:dyDescent="0.2">
      <c r="B250" s="1" t="s">
        <v>320</v>
      </c>
      <c r="C250" s="1" t="s">
        <v>297</v>
      </c>
      <c r="D250" s="1" t="s">
        <v>450</v>
      </c>
      <c r="E250" s="1">
        <f>SUMIF(الجدول336112[الموديل],D250,الجدول336112[العدد])</f>
        <v>30</v>
      </c>
    </row>
    <row r="251" spans="2:5" x14ac:dyDescent="0.2">
      <c r="B251" s="1" t="s">
        <v>320</v>
      </c>
      <c r="C251" s="1" t="s">
        <v>297</v>
      </c>
      <c r="D251" s="1" t="s">
        <v>451</v>
      </c>
      <c r="E251" s="1">
        <f>SUMIF(الجدول336112[الموديل],D251,الجدول336112[العدد])</f>
        <v>10</v>
      </c>
    </row>
    <row r="252" spans="2:5" x14ac:dyDescent="0.2">
      <c r="B252" s="1" t="s">
        <v>320</v>
      </c>
      <c r="C252" s="1" t="s">
        <v>297</v>
      </c>
      <c r="D252" s="1" t="s">
        <v>517</v>
      </c>
      <c r="E252" s="1">
        <f>SUMIF(الجدول336112[الموديل],D252,الجدول336112[العدد])</f>
        <v>21</v>
      </c>
    </row>
    <row r="253" spans="2:5" x14ac:dyDescent="0.2">
      <c r="B253" s="1" t="s">
        <v>322</v>
      </c>
      <c r="C253" s="1" t="s">
        <v>299</v>
      </c>
      <c r="D253" s="1" t="s">
        <v>209</v>
      </c>
      <c r="E253" s="1">
        <f>SUMIF(الجدول336112[الموديل],D253,الجدول336112[العدد])</f>
        <v>5</v>
      </c>
    </row>
    <row r="254" spans="2:5" x14ac:dyDescent="0.2">
      <c r="B254" s="1" t="s">
        <v>322</v>
      </c>
      <c r="C254" s="1" t="s">
        <v>299</v>
      </c>
      <c r="D254" s="1" t="s">
        <v>210</v>
      </c>
      <c r="E254" s="1">
        <f>SUMIF(الجدول336112[الموديل],D254,الجدول336112[العدد])</f>
        <v>50</v>
      </c>
    </row>
    <row r="255" spans="2:5" x14ac:dyDescent="0.2">
      <c r="B255" s="1" t="s">
        <v>322</v>
      </c>
      <c r="C255" s="1" t="s">
        <v>299</v>
      </c>
      <c r="D255" s="1" t="s">
        <v>211</v>
      </c>
      <c r="E255" s="1">
        <f>SUMIF(الجدول336112[الموديل],D255,الجدول336112[العدد])</f>
        <v>10</v>
      </c>
    </row>
    <row r="256" spans="2:5" x14ac:dyDescent="0.2">
      <c r="B256" s="1" t="s">
        <v>328</v>
      </c>
      <c r="C256" s="1" t="s">
        <v>304</v>
      </c>
      <c r="D256" s="1" t="s">
        <v>231</v>
      </c>
      <c r="E256" s="1">
        <f>SUMIF(الجدول336112[الموديل],D256,الجدول336112[العدد])</f>
        <v>0</v>
      </c>
    </row>
    <row r="257" spans="2:5" x14ac:dyDescent="0.2">
      <c r="B257" s="1" t="s">
        <v>328</v>
      </c>
      <c r="C257" s="1" t="s">
        <v>304</v>
      </c>
      <c r="D257" s="1" t="s">
        <v>232</v>
      </c>
      <c r="E257" s="1">
        <f>SUMIF(الجدول336112[الموديل],D257,الجدول336112[العدد])</f>
        <v>5000</v>
      </c>
    </row>
    <row r="258" spans="2:5" x14ac:dyDescent="0.2">
      <c r="B258" s="1" t="s">
        <v>328</v>
      </c>
      <c r="C258" s="1" t="s">
        <v>304</v>
      </c>
      <c r="D258" s="1" t="s">
        <v>233</v>
      </c>
      <c r="E258" s="1">
        <f>SUMIF(الجدول336112[الموديل],D258,الجدول336112[العدد])</f>
        <v>0</v>
      </c>
    </row>
    <row r="259" spans="2:5" x14ac:dyDescent="0.2">
      <c r="B259" s="1" t="s">
        <v>328</v>
      </c>
      <c r="C259" s="1" t="s">
        <v>304</v>
      </c>
      <c r="D259" s="1" t="s">
        <v>346</v>
      </c>
      <c r="E259" s="1">
        <f>SUMIF(الجدول336112[الموديل],D259,الجدول336112[العدد])</f>
        <v>1980</v>
      </c>
    </row>
    <row r="260" spans="2:5" x14ac:dyDescent="0.2">
      <c r="B260" s="1" t="s">
        <v>524</v>
      </c>
      <c r="C260" s="1" t="s">
        <v>307</v>
      </c>
      <c r="D260" s="1" t="s">
        <v>353</v>
      </c>
      <c r="E260" s="1">
        <f>SUMIF(الجدول336112[الموديل],D260,الجدول336112[العدد])</f>
        <v>1000</v>
      </c>
    </row>
    <row r="261" spans="2:5" x14ac:dyDescent="0.2">
      <c r="B261" s="1" t="s">
        <v>524</v>
      </c>
      <c r="C261" s="1" t="s">
        <v>307</v>
      </c>
      <c r="D261" s="1" t="s">
        <v>414</v>
      </c>
      <c r="E261" s="1">
        <f>SUMIF(الجدول336112[الموديل],D261,الجدول336112[العدد])</f>
        <v>1000</v>
      </c>
    </row>
    <row r="262" spans="2:5" x14ac:dyDescent="0.2">
      <c r="B262" s="1" t="s">
        <v>524</v>
      </c>
      <c r="C262" s="1" t="s">
        <v>307</v>
      </c>
      <c r="D262" s="1" t="s">
        <v>493</v>
      </c>
      <c r="E262" s="1">
        <f>SUMIF(الجدول336112[الموديل],D262,الجدول336112[العدد])</f>
        <v>1500</v>
      </c>
    </row>
    <row r="263" spans="2:5" x14ac:dyDescent="0.2">
      <c r="B263" s="1" t="s">
        <v>693</v>
      </c>
      <c r="C263" s="1" t="s">
        <v>619</v>
      </c>
      <c r="D263" s="1" t="s">
        <v>618</v>
      </c>
      <c r="E263" s="1">
        <f>SUMIF(الجدول336112[الموديل],D263,الجدول336112[العدد])</f>
        <v>0</v>
      </c>
    </row>
    <row r="264" spans="2:5" x14ac:dyDescent="0.2">
      <c r="B264" s="1" t="s">
        <v>694</v>
      </c>
      <c r="C264" s="1" t="s">
        <v>619</v>
      </c>
      <c r="D264" s="1" t="s">
        <v>620</v>
      </c>
      <c r="E264" s="1">
        <f>SUMIF(الجدول336112[الموديل],D264,الجدول336112[العدد])</f>
        <v>0</v>
      </c>
    </row>
    <row r="265" spans="2:5" x14ac:dyDescent="0.2">
      <c r="B265" s="1" t="s">
        <v>321</v>
      </c>
      <c r="C265" s="1" t="s">
        <v>298</v>
      </c>
      <c r="D265" s="1" t="s">
        <v>191</v>
      </c>
      <c r="E265" s="1">
        <f>SUMIF(الجدول336112[الموديل],D265,الجدول336112[العدد])</f>
        <v>25</v>
      </c>
    </row>
    <row r="266" spans="2:5" x14ac:dyDescent="0.2">
      <c r="B266" s="1" t="s">
        <v>321</v>
      </c>
      <c r="C266" s="1" t="s">
        <v>298</v>
      </c>
      <c r="D266" s="1" t="s">
        <v>192</v>
      </c>
      <c r="E266" s="1">
        <f>SUMIF(الجدول336112[الموديل],D266,الجدول336112[العدد])</f>
        <v>0</v>
      </c>
    </row>
    <row r="267" spans="2:5" x14ac:dyDescent="0.2">
      <c r="B267" s="1" t="s">
        <v>321</v>
      </c>
      <c r="C267" s="1" t="s">
        <v>298</v>
      </c>
      <c r="D267" s="1" t="s">
        <v>193</v>
      </c>
      <c r="E267" s="1">
        <f>SUMIF(الجدول336112[الموديل],D267,الجدول336112[العدد])</f>
        <v>23</v>
      </c>
    </row>
    <row r="268" spans="2:5" x14ac:dyDescent="0.2">
      <c r="B268" s="1" t="s">
        <v>321</v>
      </c>
      <c r="C268" s="1" t="s">
        <v>298</v>
      </c>
      <c r="D268" s="1" t="s">
        <v>194</v>
      </c>
      <c r="E268" s="1">
        <f>SUMIF(الجدول336112[الموديل],D268,الجدول336112[العدد])</f>
        <v>2</v>
      </c>
    </row>
    <row r="269" spans="2:5" x14ac:dyDescent="0.2">
      <c r="B269" s="1" t="s">
        <v>321</v>
      </c>
      <c r="C269" s="1" t="s">
        <v>298</v>
      </c>
      <c r="D269" s="1" t="s">
        <v>195</v>
      </c>
      <c r="E269" s="1">
        <f>SUMIF(الجدول336112[الموديل],D269,الجدول336112[العدد])</f>
        <v>7</v>
      </c>
    </row>
    <row r="270" spans="2:5" x14ac:dyDescent="0.2">
      <c r="B270" s="1" t="s">
        <v>321</v>
      </c>
      <c r="C270" s="1" t="s">
        <v>298</v>
      </c>
      <c r="D270" s="1" t="s">
        <v>196</v>
      </c>
      <c r="E270" s="1">
        <f>SUMIF(الجدول336112[الموديل],D270,الجدول336112[العدد])</f>
        <v>0</v>
      </c>
    </row>
    <row r="271" spans="2:5" x14ac:dyDescent="0.2">
      <c r="B271" s="1" t="s">
        <v>321</v>
      </c>
      <c r="C271" s="1" t="s">
        <v>298</v>
      </c>
      <c r="D271" s="1" t="s">
        <v>197</v>
      </c>
      <c r="E271" s="1">
        <f>SUMIF(الجدول336112[الموديل],D271,الجدول336112[العدد])</f>
        <v>5</v>
      </c>
    </row>
    <row r="272" spans="2:5" x14ac:dyDescent="0.2">
      <c r="B272" s="1" t="s">
        <v>321</v>
      </c>
      <c r="C272" s="1" t="s">
        <v>298</v>
      </c>
      <c r="D272" s="1" t="s">
        <v>198</v>
      </c>
      <c r="E272" s="1">
        <f>SUMIF(الجدول336112[الموديل],D272,الجدول336112[العدد])</f>
        <v>61</v>
      </c>
    </row>
    <row r="273" spans="2:5" x14ac:dyDescent="0.2">
      <c r="B273" s="1" t="s">
        <v>321</v>
      </c>
      <c r="C273" s="1" t="s">
        <v>298</v>
      </c>
      <c r="D273" s="1" t="s">
        <v>199</v>
      </c>
      <c r="E273" s="1">
        <f>SUMIF(الجدول336112[الموديل],D273,الجدول336112[العدد])</f>
        <v>51</v>
      </c>
    </row>
    <row r="274" spans="2:5" x14ac:dyDescent="0.2">
      <c r="B274" s="1" t="s">
        <v>321</v>
      </c>
      <c r="C274" s="1" t="s">
        <v>298</v>
      </c>
      <c r="D274" s="1" t="s">
        <v>200</v>
      </c>
      <c r="E274" s="1">
        <f>SUMIF(الجدول336112[الموديل],D274,الجدول336112[العدد])</f>
        <v>60</v>
      </c>
    </row>
    <row r="275" spans="2:5" x14ac:dyDescent="0.2">
      <c r="B275" s="1" t="s">
        <v>321</v>
      </c>
      <c r="C275" s="1" t="s">
        <v>298</v>
      </c>
      <c r="D275" s="1" t="s">
        <v>201</v>
      </c>
      <c r="E275" s="1">
        <f>SUMIF(الجدول336112[الموديل],D275,الجدول336112[العدد])</f>
        <v>31</v>
      </c>
    </row>
    <row r="276" spans="2:5" x14ac:dyDescent="0.2">
      <c r="B276" s="1" t="s">
        <v>321</v>
      </c>
      <c r="C276" s="1" t="s">
        <v>298</v>
      </c>
      <c r="D276" s="1" t="s">
        <v>202</v>
      </c>
      <c r="E276" s="1">
        <f>SUMIF(الجدول336112[الموديل],D276,الجدول336112[العدد])</f>
        <v>21</v>
      </c>
    </row>
    <row r="277" spans="2:5" x14ac:dyDescent="0.2">
      <c r="B277" s="1" t="s">
        <v>321</v>
      </c>
      <c r="C277" s="1" t="s">
        <v>298</v>
      </c>
      <c r="D277" s="1" t="s">
        <v>203</v>
      </c>
      <c r="E277" s="1">
        <f>SUMIF(الجدول336112[الموديل],D277,الجدول336112[العدد])</f>
        <v>16</v>
      </c>
    </row>
    <row r="278" spans="2:5" x14ac:dyDescent="0.2">
      <c r="B278" s="1" t="s">
        <v>321</v>
      </c>
      <c r="C278" s="1" t="s">
        <v>298</v>
      </c>
      <c r="D278" s="1" t="s">
        <v>204</v>
      </c>
      <c r="E278" s="1">
        <f>SUMIF(الجدول336112[الموديل],D278,الجدول336112[العدد])</f>
        <v>4</v>
      </c>
    </row>
    <row r="279" spans="2:5" x14ac:dyDescent="0.2">
      <c r="B279" s="1" t="s">
        <v>321</v>
      </c>
      <c r="C279" s="1" t="s">
        <v>298</v>
      </c>
      <c r="D279" s="1" t="s">
        <v>205</v>
      </c>
      <c r="E279" s="1">
        <f>SUMIF(الجدول336112[الموديل],D279,الجدول336112[العدد])</f>
        <v>5000</v>
      </c>
    </row>
    <row r="280" spans="2:5" x14ac:dyDescent="0.2">
      <c r="B280" s="1" t="s">
        <v>321</v>
      </c>
      <c r="C280" s="1" t="s">
        <v>298</v>
      </c>
      <c r="D280" s="1" t="s">
        <v>206</v>
      </c>
      <c r="E280" s="1">
        <f>SUMIF(الجدول336112[الموديل],D280,الجدول336112[العدد])</f>
        <v>10675</v>
      </c>
    </row>
    <row r="281" spans="2:5" x14ac:dyDescent="0.2">
      <c r="B281" s="1" t="s">
        <v>321</v>
      </c>
      <c r="C281" s="1" t="s">
        <v>298</v>
      </c>
      <c r="D281" s="1" t="s">
        <v>207</v>
      </c>
      <c r="E281" s="1">
        <f>SUMIF(الجدول336112[الموديل],D281,الجدول336112[العدد])</f>
        <v>0</v>
      </c>
    </row>
    <row r="282" spans="2:5" x14ac:dyDescent="0.2">
      <c r="B282" s="1" t="s">
        <v>321</v>
      </c>
      <c r="C282" s="1" t="s">
        <v>298</v>
      </c>
      <c r="D282" s="1" t="s">
        <v>208</v>
      </c>
      <c r="E282" s="1">
        <f>SUMIF(الجدول336112[الموديل],D282,الجدول336112[العدد])</f>
        <v>0</v>
      </c>
    </row>
    <row r="283" spans="2:5" x14ac:dyDescent="0.2">
      <c r="B283" s="1" t="s">
        <v>321</v>
      </c>
      <c r="C283" s="1" t="s">
        <v>298</v>
      </c>
      <c r="D283" s="1" t="s">
        <v>440</v>
      </c>
      <c r="E283" s="1">
        <f>SUMIF(الجدول336112[الموديل],D283,الجدول336112[العدد])</f>
        <v>9800</v>
      </c>
    </row>
    <row r="284" spans="2:5" x14ac:dyDescent="0.2">
      <c r="B284" s="1" t="s">
        <v>321</v>
      </c>
      <c r="C284" s="1" t="s">
        <v>298</v>
      </c>
      <c r="D284" s="1" t="s">
        <v>447</v>
      </c>
      <c r="E284" s="1">
        <f>SUMIF(الجدول336112[الموديل],D284,الجدول336112[العدد])</f>
        <v>5001</v>
      </c>
    </row>
    <row r="285" spans="2:5" x14ac:dyDescent="0.2">
      <c r="B285" s="1" t="s">
        <v>321</v>
      </c>
      <c r="C285" s="1" t="s">
        <v>298</v>
      </c>
      <c r="D285" s="1" t="s">
        <v>510</v>
      </c>
      <c r="E285" s="1">
        <f>SUMIF(الجدول336112[الموديل],D285,الجدول336112[العدد])</f>
        <v>4950</v>
      </c>
    </row>
    <row r="286" spans="2:5" x14ac:dyDescent="0.2">
      <c r="B286" s="1" t="s">
        <v>325</v>
      </c>
      <c r="C286" s="1" t="s">
        <v>302</v>
      </c>
      <c r="D286" s="1" t="s">
        <v>223</v>
      </c>
      <c r="E286" s="1">
        <f>SUMIF(الجدول336112[الموديل],D286,الجدول336112[العدد])</f>
        <v>0</v>
      </c>
    </row>
    <row r="287" spans="2:5" x14ac:dyDescent="0.2">
      <c r="B287" s="1" t="s">
        <v>326</v>
      </c>
      <c r="C287" s="1" t="s">
        <v>302</v>
      </c>
      <c r="D287" s="1" t="s">
        <v>224</v>
      </c>
      <c r="E287" s="1">
        <f>SUMIF(الجدول336112[الموديل],D287,الجدول336112[العدد])</f>
        <v>150</v>
      </c>
    </row>
    <row r="288" spans="2:5" x14ac:dyDescent="0.2">
      <c r="B288" s="1" t="s">
        <v>323</v>
      </c>
      <c r="C288" s="1" t="s">
        <v>300</v>
      </c>
      <c r="D288" s="1" t="s">
        <v>212</v>
      </c>
      <c r="E288" s="1">
        <f>SUMIF(الجدول336112[الموديل],D288,الجدول336112[العدد])</f>
        <v>12</v>
      </c>
    </row>
    <row r="289" spans="2:5" x14ac:dyDescent="0.2">
      <c r="B289" s="1" t="s">
        <v>323</v>
      </c>
      <c r="C289" s="1" t="s">
        <v>300</v>
      </c>
      <c r="D289" s="1" t="s">
        <v>213</v>
      </c>
      <c r="E289" s="1">
        <f>SUMIF(الجدول336112[الموديل],D289,الجدول336112[العدد])</f>
        <v>0</v>
      </c>
    </row>
    <row r="290" spans="2:5" x14ac:dyDescent="0.2">
      <c r="B290" s="1" t="s">
        <v>323</v>
      </c>
      <c r="C290" s="1" t="s">
        <v>300</v>
      </c>
      <c r="D290" s="1" t="s">
        <v>214</v>
      </c>
      <c r="E290" s="1">
        <f>SUMIF(الجدول336112[الموديل],D290,الجدول336112[العدد])</f>
        <v>27</v>
      </c>
    </row>
    <row r="291" spans="2:5" x14ac:dyDescent="0.2">
      <c r="B291" s="1" t="s">
        <v>323</v>
      </c>
      <c r="C291" s="1" t="s">
        <v>300</v>
      </c>
      <c r="D291" s="1" t="s">
        <v>442</v>
      </c>
      <c r="E291" s="1">
        <f>SUMIF(الجدول336112[الموديل],D291,الجدول336112[العدد])</f>
        <v>44</v>
      </c>
    </row>
    <row r="292" spans="2:5" x14ac:dyDescent="0.2">
      <c r="B292" s="1" t="s">
        <v>323</v>
      </c>
      <c r="C292" s="1" t="s">
        <v>300</v>
      </c>
      <c r="D292" s="1" t="s">
        <v>443</v>
      </c>
      <c r="E292" s="1">
        <f>SUMIF(الجدول336112[الموديل],D292,الجدول336112[العدد])</f>
        <v>10</v>
      </c>
    </row>
    <row r="293" spans="2:5" x14ac:dyDescent="0.2">
      <c r="B293" s="1" t="s">
        <v>323</v>
      </c>
      <c r="C293" s="1" t="s">
        <v>300</v>
      </c>
      <c r="D293" s="1" t="s">
        <v>444</v>
      </c>
      <c r="E293" s="1">
        <f>SUMIF(الجدول336112[الموديل],D293,الجدول336112[العدد])</f>
        <v>10</v>
      </c>
    </row>
    <row r="294" spans="2:5" x14ac:dyDescent="0.2">
      <c r="B294" s="1" t="s">
        <v>323</v>
      </c>
      <c r="C294" s="1" t="s">
        <v>300</v>
      </c>
      <c r="D294" s="1" t="s">
        <v>445</v>
      </c>
      <c r="E294" s="1">
        <f>SUMIF(الجدول336112[الموديل],D294,الجدول336112[العدد])</f>
        <v>10</v>
      </c>
    </row>
    <row r="295" spans="2:5" x14ac:dyDescent="0.2">
      <c r="B295" s="1" t="s">
        <v>352</v>
      </c>
      <c r="C295" s="1" t="s">
        <v>350</v>
      </c>
      <c r="D295" s="1" t="s">
        <v>349</v>
      </c>
      <c r="E295" s="1">
        <f>SUMIF(الجدول336112[الموديل],D295,الجدول336112[العدد])</f>
        <v>120</v>
      </c>
    </row>
    <row r="296" spans="2:5" x14ac:dyDescent="0.2">
      <c r="B296" s="1" t="s">
        <v>352</v>
      </c>
      <c r="C296" s="1" t="s">
        <v>350</v>
      </c>
      <c r="D296" s="1" t="s">
        <v>351</v>
      </c>
      <c r="E296" s="1">
        <f>SUMIF(الجدول336112[الموديل],D296,الجدول336112[العدد])</f>
        <v>200</v>
      </c>
    </row>
    <row r="297" spans="2:5" x14ac:dyDescent="0.2">
      <c r="B297" s="1" t="s">
        <v>372</v>
      </c>
      <c r="C297" s="1" t="s">
        <v>350</v>
      </c>
      <c r="D297" s="1" t="s">
        <v>373</v>
      </c>
      <c r="E297" s="1">
        <f>SUMIF(الجدول336112[الموديل],D297,الجدول336112[العدد])</f>
        <v>2524</v>
      </c>
    </row>
    <row r="298" spans="2:5" x14ac:dyDescent="0.2">
      <c r="B298" s="1" t="s">
        <v>352</v>
      </c>
      <c r="C298" s="1" t="s">
        <v>313</v>
      </c>
      <c r="D298" s="1" t="s">
        <v>449</v>
      </c>
      <c r="E298" s="1">
        <f>SUMIF(الجدول336112[الموديل],D298,الجدول336112[العدد])</f>
        <v>250</v>
      </c>
    </row>
    <row r="299" spans="2:5" x14ac:dyDescent="0.2">
      <c r="B299" s="1" t="s">
        <v>527</v>
      </c>
      <c r="C299" s="1" t="s">
        <v>464</v>
      </c>
      <c r="D299" s="1" t="s">
        <v>465</v>
      </c>
      <c r="E299" s="1">
        <f>SUMIF(الجدول336112[الموديل],D299,الجدول336112[العدد])</f>
        <v>2</v>
      </c>
    </row>
    <row r="300" spans="2:5" x14ac:dyDescent="0.2">
      <c r="B300" s="1" t="s">
        <v>335</v>
      </c>
      <c r="C300" s="1" t="s">
        <v>312</v>
      </c>
      <c r="D300" s="1" t="s">
        <v>264</v>
      </c>
      <c r="E300" s="1">
        <f>SUMIF(الجدول336112[الموديل],D300,الجدول336112[العدد])</f>
        <v>0</v>
      </c>
    </row>
    <row r="301" spans="2:5" x14ac:dyDescent="0.2">
      <c r="B301" s="1" t="s">
        <v>335</v>
      </c>
      <c r="C301" s="1" t="s">
        <v>312</v>
      </c>
      <c r="D301" s="1" t="s">
        <v>265</v>
      </c>
      <c r="E301" s="1">
        <f>SUMIF(الجدول336112[الموديل],D301,الجدول336112[العدد])</f>
        <v>0</v>
      </c>
    </row>
    <row r="302" spans="2:5" x14ac:dyDescent="0.2">
      <c r="B302" s="1" t="s">
        <v>335</v>
      </c>
      <c r="C302" s="1" t="s">
        <v>312</v>
      </c>
      <c r="D302" s="1" t="s">
        <v>266</v>
      </c>
      <c r="E302" s="1">
        <f>SUMIF(الجدول336112[الموديل],D302,الجدول336112[العدد])</f>
        <v>0</v>
      </c>
    </row>
    <row r="303" spans="2:5" x14ac:dyDescent="0.2">
      <c r="B303" s="1" t="s">
        <v>335</v>
      </c>
      <c r="C303" s="1" t="s">
        <v>312</v>
      </c>
      <c r="D303" s="1" t="s">
        <v>267</v>
      </c>
      <c r="E303" s="1">
        <f>SUMIF(الجدول336112[الموديل],D303,الجدول336112[العدد])</f>
        <v>0</v>
      </c>
    </row>
    <row r="304" spans="2:5" x14ac:dyDescent="0.2">
      <c r="B304" s="1" t="s">
        <v>335</v>
      </c>
      <c r="C304" s="1" t="s">
        <v>312</v>
      </c>
      <c r="D304" s="1" t="s">
        <v>268</v>
      </c>
      <c r="E304" s="1">
        <f>SUMIF(الجدول336112[الموديل],D304,الجدول336112[العدد])</f>
        <v>0</v>
      </c>
    </row>
    <row r="305" spans="2:5" x14ac:dyDescent="0.2">
      <c r="B305" s="1" t="s">
        <v>335</v>
      </c>
      <c r="C305" s="1" t="s">
        <v>312</v>
      </c>
      <c r="D305" s="1" t="s">
        <v>269</v>
      </c>
      <c r="E305" s="1">
        <f>SUMIF(الجدول336112[الموديل],D305,الجدول336112[العدد])</f>
        <v>0</v>
      </c>
    </row>
    <row r="306" spans="2:5" x14ac:dyDescent="0.2">
      <c r="B306" s="1" t="s">
        <v>335</v>
      </c>
      <c r="C306" s="1" t="s">
        <v>312</v>
      </c>
      <c r="D306" s="1" t="s">
        <v>270</v>
      </c>
      <c r="E306" s="1">
        <f>SUMIF(الجدول336112[الموديل],D306,الجدول336112[العدد])</f>
        <v>0</v>
      </c>
    </row>
    <row r="307" spans="2:5" x14ac:dyDescent="0.2">
      <c r="B307" s="1" t="s">
        <v>335</v>
      </c>
      <c r="C307" s="1" t="s">
        <v>312</v>
      </c>
      <c r="D307" s="1" t="s">
        <v>271</v>
      </c>
      <c r="E307" s="1">
        <f>SUMIF(الجدول336112[الموديل],D307,الجدول336112[العدد])</f>
        <v>0</v>
      </c>
    </row>
    <row r="308" spans="2:5" x14ac:dyDescent="0.2">
      <c r="B308" s="1" t="s">
        <v>335</v>
      </c>
      <c r="C308" s="1" t="s">
        <v>312</v>
      </c>
      <c r="D308" s="1" t="s">
        <v>272</v>
      </c>
      <c r="E308" s="1">
        <f>SUMIF(الجدول336112[الموديل],D308,الجدول336112[العدد])</f>
        <v>0</v>
      </c>
    </row>
    <row r="309" spans="2:5" x14ac:dyDescent="0.2">
      <c r="B309" s="1" t="s">
        <v>335</v>
      </c>
      <c r="C309" s="1" t="s">
        <v>312</v>
      </c>
      <c r="D309" s="1" t="s">
        <v>273</v>
      </c>
      <c r="E309" s="1">
        <f>SUMIF(الجدول336112[الموديل],D309,الجدول336112[العدد])</f>
        <v>0</v>
      </c>
    </row>
    <row r="310" spans="2:5" x14ac:dyDescent="0.2">
      <c r="B310" s="1" t="s">
        <v>335</v>
      </c>
      <c r="C310" s="1" t="s">
        <v>312</v>
      </c>
      <c r="D310" s="1" t="s">
        <v>749</v>
      </c>
      <c r="E310" s="1">
        <f>SUMIF(الجدول336112[الموديل],D310,الجدول336112[العدد])</f>
        <v>60478</v>
      </c>
    </row>
    <row r="311" spans="2:5" x14ac:dyDescent="0.2">
      <c r="B311" s="1" t="s">
        <v>335</v>
      </c>
      <c r="C311" s="1" t="s">
        <v>312</v>
      </c>
      <c r="D311" s="1" t="s">
        <v>750</v>
      </c>
      <c r="E311" s="1">
        <f>SUMIF(الجدول336112[الموديل],D311,الجدول336112[العدد])</f>
        <v>23429</v>
      </c>
    </row>
    <row r="312" spans="2:5" x14ac:dyDescent="0.2">
      <c r="B312" s="1" t="s">
        <v>335</v>
      </c>
      <c r="C312" s="1" t="s">
        <v>312</v>
      </c>
      <c r="D312" s="1" t="s">
        <v>274</v>
      </c>
      <c r="E312" s="1">
        <f>SUMIF(الجدول336112[الموديل],D312,الجدول336112[العدد])</f>
        <v>14111</v>
      </c>
    </row>
    <row r="313" spans="2:5" x14ac:dyDescent="0.2">
      <c r="B313" s="1" t="s">
        <v>335</v>
      </c>
      <c r="C313" s="1" t="s">
        <v>312</v>
      </c>
      <c r="D313" s="1" t="s">
        <v>275</v>
      </c>
      <c r="E313" s="1">
        <f>SUMIF(الجدول336112[الموديل],D313,الجدول336112[العدد])</f>
        <v>21839</v>
      </c>
    </row>
    <row r="314" spans="2:5" x14ac:dyDescent="0.2">
      <c r="B314" s="1" t="s">
        <v>335</v>
      </c>
      <c r="C314" s="1" t="s">
        <v>312</v>
      </c>
      <c r="D314" s="1" t="s">
        <v>505</v>
      </c>
      <c r="E314" s="1">
        <f>SUMIF(الجدول336112[الموديل],D314,الجدول336112[العدد])</f>
        <v>100000</v>
      </c>
    </row>
    <row r="315" spans="2:5" x14ac:dyDescent="0.2">
      <c r="B315" s="1" t="s">
        <v>335</v>
      </c>
      <c r="C315" s="1" t="s">
        <v>312</v>
      </c>
      <c r="D315" s="1" t="s">
        <v>506</v>
      </c>
      <c r="E315" s="1">
        <f>SUMIF(الجدول336112[الموديل],D315,الجدول336112[العدد])</f>
        <v>100000</v>
      </c>
    </row>
    <row r="316" spans="2:5" x14ac:dyDescent="0.2">
      <c r="B316" s="1" t="s">
        <v>324</v>
      </c>
      <c r="C316" s="1" t="s">
        <v>301</v>
      </c>
      <c r="D316" s="1" t="s">
        <v>215</v>
      </c>
      <c r="E316" s="1">
        <f>SUMIF(الجدول336112[الموديل],D316,الجدول336112[العدد])</f>
        <v>0</v>
      </c>
    </row>
    <row r="317" spans="2:5" x14ac:dyDescent="0.2">
      <c r="B317" s="1" t="s">
        <v>324</v>
      </c>
      <c r="C317" s="1" t="s">
        <v>301</v>
      </c>
      <c r="D317" s="1" t="s">
        <v>216</v>
      </c>
      <c r="E317" s="1">
        <f>SUMIF(الجدول336112[الموديل],D317,الجدول336112[العدد])</f>
        <v>0</v>
      </c>
    </row>
    <row r="318" spans="2:5" x14ac:dyDescent="0.2">
      <c r="B318" s="1" t="s">
        <v>324</v>
      </c>
      <c r="C318" s="1" t="s">
        <v>301</v>
      </c>
      <c r="D318" s="1" t="s">
        <v>217</v>
      </c>
      <c r="E318" s="1">
        <f>SUMIF(الجدول336112[الموديل],D318,الجدول336112[العدد])</f>
        <v>40</v>
      </c>
    </row>
    <row r="319" spans="2:5" x14ac:dyDescent="0.2">
      <c r="B319" s="1" t="s">
        <v>324</v>
      </c>
      <c r="C319" s="1" t="s">
        <v>301</v>
      </c>
      <c r="D319" s="1" t="s">
        <v>218</v>
      </c>
      <c r="E319" s="1">
        <f>SUMIF(الجدول336112[الموديل],D319,الجدول336112[العدد])</f>
        <v>400</v>
      </c>
    </row>
    <row r="320" spans="2:5" x14ac:dyDescent="0.2">
      <c r="B320" s="1" t="s">
        <v>324</v>
      </c>
      <c r="C320" s="1" t="s">
        <v>301</v>
      </c>
      <c r="D320" s="1" t="s">
        <v>219</v>
      </c>
      <c r="E320" s="1">
        <f>SUMIF(الجدول336112[الموديل],D320,الجدول336112[العدد])</f>
        <v>50</v>
      </c>
    </row>
    <row r="321" spans="2:5" x14ac:dyDescent="0.2">
      <c r="B321" s="1" t="s">
        <v>324</v>
      </c>
      <c r="C321" s="1" t="s">
        <v>301</v>
      </c>
      <c r="D321" s="1" t="s">
        <v>220</v>
      </c>
      <c r="E321" s="1">
        <f>SUMIF(الجدول336112[الموديل],D321,الجدول336112[العدد])</f>
        <v>50</v>
      </c>
    </row>
    <row r="322" spans="2:5" x14ac:dyDescent="0.2">
      <c r="B322" s="1" t="s">
        <v>324</v>
      </c>
      <c r="C322" s="1" t="s">
        <v>301</v>
      </c>
      <c r="D322" s="1" t="s">
        <v>221</v>
      </c>
      <c r="E322" s="1">
        <f>SUMIF(الجدول336112[الموديل],D322,الجدول336112[العدد])</f>
        <v>20</v>
      </c>
    </row>
    <row r="323" spans="2:5" x14ac:dyDescent="0.2">
      <c r="B323" s="1" t="s">
        <v>324</v>
      </c>
      <c r="C323" s="1" t="s">
        <v>301</v>
      </c>
      <c r="D323" s="1" t="s">
        <v>222</v>
      </c>
      <c r="E323" s="1">
        <f>SUMIF(الجدول336112[الموديل],D323,الجدول336112[العدد])</f>
        <v>50</v>
      </c>
    </row>
    <row r="324" spans="2:5" x14ac:dyDescent="0.2">
      <c r="B324" s="1" t="s">
        <v>324</v>
      </c>
      <c r="C324" s="1" t="s">
        <v>301</v>
      </c>
      <c r="D324" s="1" t="s">
        <v>225</v>
      </c>
      <c r="E324" s="1">
        <f>SUMIF(الجدول336112[الموديل],D324,الجدول336112[العدد])</f>
        <v>74</v>
      </c>
    </row>
    <row r="325" spans="2:5" x14ac:dyDescent="0.2">
      <c r="B325" s="1" t="s">
        <v>686</v>
      </c>
      <c r="C325" s="1" t="s">
        <v>606</v>
      </c>
      <c r="D325" s="1" t="s">
        <v>607</v>
      </c>
      <c r="E325" s="1">
        <f>SUMIF(الجدول336112[الموديل],D325,الجدول336112[العدد])</f>
        <v>0</v>
      </c>
    </row>
    <row r="326" spans="2:5" x14ac:dyDescent="0.2">
      <c r="B326" s="1" t="s">
        <v>687</v>
      </c>
      <c r="C326" s="1" t="s">
        <v>609</v>
      </c>
      <c r="D326" s="1" t="s">
        <v>608</v>
      </c>
      <c r="E326" s="1">
        <f>SUMIF(الجدول336112[الموديل],D326,الجدول336112[العدد])</f>
        <v>0</v>
      </c>
    </row>
    <row r="327" spans="2:5" x14ac:dyDescent="0.2">
      <c r="B327" s="1" t="s">
        <v>688</v>
      </c>
      <c r="C327" s="1" t="s">
        <v>610</v>
      </c>
      <c r="D327" s="1" t="s">
        <v>611</v>
      </c>
      <c r="E327" s="1">
        <f>SUMIF(الجدول336112[الموديل],D327,الجدول336112[العدد])</f>
        <v>0</v>
      </c>
    </row>
    <row r="328" spans="2:5" x14ac:dyDescent="0.2">
      <c r="B328" s="1" t="s">
        <v>689</v>
      </c>
      <c r="C328" s="1" t="s">
        <v>613</v>
      </c>
      <c r="D328" s="1" t="s">
        <v>612</v>
      </c>
      <c r="E328" s="1">
        <f>SUMIF(الجدول336112[الموديل],D328,الجدول336112[العدد])</f>
        <v>0</v>
      </c>
    </row>
    <row r="329" spans="2:5" x14ac:dyDescent="0.2">
      <c r="B329" s="1" t="s">
        <v>728</v>
      </c>
      <c r="C329" s="1" t="s">
        <v>729</v>
      </c>
      <c r="D329" s="1" t="s">
        <v>730</v>
      </c>
      <c r="E329" s="1">
        <f>SUMIF(الجدول336112[الموديل],D329,الجدول336112[العدد])</f>
        <v>0</v>
      </c>
    </row>
    <row r="330" spans="2:5" x14ac:dyDescent="0.2">
      <c r="B330" s="1" t="s">
        <v>731</v>
      </c>
      <c r="C330" s="1" t="s">
        <v>732</v>
      </c>
      <c r="D330" s="1" t="s">
        <v>733</v>
      </c>
      <c r="E330" s="1">
        <f>SUMIF(الجدول336112[الموديل],D330,الجدول336112[العدد])</f>
        <v>0</v>
      </c>
    </row>
    <row r="331" spans="2:5" x14ac:dyDescent="0.2">
      <c r="B331" s="1" t="s">
        <v>731</v>
      </c>
      <c r="C331" s="1" t="s">
        <v>732</v>
      </c>
      <c r="D331" s="1" t="s">
        <v>734</v>
      </c>
      <c r="E331" s="1">
        <f>SUMIF(الجدول336112[الموديل],D331,الجدول336112[العدد])</f>
        <v>0</v>
      </c>
    </row>
    <row r="332" spans="2:5" x14ac:dyDescent="0.2">
      <c r="B332" s="1" t="s">
        <v>685</v>
      </c>
      <c r="C332" s="1" t="s">
        <v>604</v>
      </c>
      <c r="D332" s="1" t="s">
        <v>605</v>
      </c>
      <c r="E332" s="1">
        <f>SUMIF(الجدول336112[الموديل],D332,الجدول336112[العدد])</f>
        <v>0</v>
      </c>
    </row>
    <row r="333" spans="2:5" x14ac:dyDescent="0.2">
      <c r="B333" s="1" t="s">
        <v>727</v>
      </c>
      <c r="C333" s="1" t="s">
        <v>342</v>
      </c>
      <c r="D333" s="1" t="s">
        <v>343</v>
      </c>
      <c r="E333" s="1">
        <f>SUMIF(الجدول336112[الموديل],D333,الجدول336112[العدد])</f>
        <v>10</v>
      </c>
    </row>
    <row r="334" spans="2:5" x14ac:dyDescent="0.2">
      <c r="B334" s="1" t="s">
        <v>413</v>
      </c>
      <c r="C334" s="1" t="s">
        <v>412</v>
      </c>
      <c r="D334" s="1" t="s">
        <v>405</v>
      </c>
      <c r="E334" s="1">
        <f>SUMIF(الجدول336112[الموديل],D334,الجدول336112[العدد])</f>
        <v>100</v>
      </c>
    </row>
    <row r="335" spans="2:5" x14ac:dyDescent="0.2">
      <c r="B335" s="1" t="s">
        <v>413</v>
      </c>
      <c r="C335" s="1" t="s">
        <v>412</v>
      </c>
      <c r="D335" s="1" t="s">
        <v>406</v>
      </c>
      <c r="E335" s="1">
        <f>SUMIF(الجدول336112[الموديل],D335,الجدول336112[العدد])</f>
        <v>4</v>
      </c>
    </row>
    <row r="336" spans="2:5" x14ac:dyDescent="0.2">
      <c r="B336" s="1" t="s">
        <v>413</v>
      </c>
      <c r="C336" s="1" t="s">
        <v>412</v>
      </c>
      <c r="D336" s="1" t="s">
        <v>407</v>
      </c>
      <c r="E336" s="1">
        <f>SUMIF(الجدول336112[الموديل],D336,الجدول336112[العدد])</f>
        <v>19</v>
      </c>
    </row>
    <row r="337" spans="2:5" x14ac:dyDescent="0.2">
      <c r="B337" s="1" t="s">
        <v>413</v>
      </c>
      <c r="C337" s="1" t="s">
        <v>412</v>
      </c>
      <c r="D337" s="1" t="s">
        <v>408</v>
      </c>
      <c r="E337" s="1">
        <f>SUMIF(الجدول336112[الموديل],D337,الجدول336112[العدد])</f>
        <v>50</v>
      </c>
    </row>
    <row r="338" spans="2:5" x14ac:dyDescent="0.2">
      <c r="B338" s="1" t="s">
        <v>413</v>
      </c>
      <c r="C338" s="1" t="s">
        <v>412</v>
      </c>
      <c r="D338" s="1" t="s">
        <v>409</v>
      </c>
      <c r="E338" s="1">
        <f>SUMIF(الجدول336112[الموديل],D338,الجدول336112[العدد])</f>
        <v>20</v>
      </c>
    </row>
    <row r="339" spans="2:5" x14ac:dyDescent="0.2">
      <c r="B339" s="1" t="s">
        <v>413</v>
      </c>
      <c r="C339" s="1" t="s">
        <v>412</v>
      </c>
      <c r="D339" s="1" t="s">
        <v>410</v>
      </c>
      <c r="E339" s="1">
        <f>SUMIF(الجدول336112[الموديل],D339,الجدول336112[العدد])</f>
        <v>8</v>
      </c>
    </row>
    <row r="340" spans="2:5" x14ac:dyDescent="0.2">
      <c r="B340" s="1" t="s">
        <v>413</v>
      </c>
      <c r="C340" s="1" t="s">
        <v>412</v>
      </c>
      <c r="D340" s="1" t="s">
        <v>411</v>
      </c>
      <c r="E340" s="1">
        <f>SUMIF(الجدول336112[الموديل],D340,الجدول336112[العدد])</f>
        <v>8</v>
      </c>
    </row>
    <row r="341" spans="2:5" x14ac:dyDescent="0.2">
      <c r="B341" s="1" t="s">
        <v>413</v>
      </c>
      <c r="C341" s="1" t="s">
        <v>412</v>
      </c>
      <c r="D341" s="1" t="s">
        <v>723</v>
      </c>
      <c r="E341" s="1">
        <f>SUMIF(الجدول336112[الموديل],D341,الجدول336112[العدد])</f>
        <v>1</v>
      </c>
    </row>
    <row r="342" spans="2:5" x14ac:dyDescent="0.2">
      <c r="B342" s="1" t="s">
        <v>495</v>
      </c>
      <c r="C342" s="1" t="s">
        <v>494</v>
      </c>
      <c r="D342" s="1" t="s">
        <v>496</v>
      </c>
      <c r="E342" s="1">
        <f>SUMIF(الجدول336112[الموديل],D342,الجدول336112[العدد])</f>
        <v>18</v>
      </c>
    </row>
    <row r="343" spans="2:5" x14ac:dyDescent="0.2">
      <c r="B343" s="1" t="s">
        <v>327</v>
      </c>
      <c r="C343" s="1" t="s">
        <v>303</v>
      </c>
      <c r="D343" s="1" t="s">
        <v>26</v>
      </c>
      <c r="E343" s="1">
        <f>SUMIF(الجدول336112[الموديل],D343,الجدول336112[العدد])</f>
        <v>27</v>
      </c>
    </row>
    <row r="344" spans="2:5" x14ac:dyDescent="0.2">
      <c r="B344" s="1" t="s">
        <v>327</v>
      </c>
      <c r="C344" s="1" t="s">
        <v>303</v>
      </c>
      <c r="D344" s="1" t="s">
        <v>226</v>
      </c>
      <c r="E344" s="1">
        <f>SUMIF(الجدول336112[الموديل],D344,الجدول336112[العدد])</f>
        <v>95</v>
      </c>
    </row>
    <row r="345" spans="2:5" x14ac:dyDescent="0.2">
      <c r="B345" s="1" t="s">
        <v>327</v>
      </c>
      <c r="C345" s="1" t="s">
        <v>303</v>
      </c>
      <c r="D345" s="1" t="s">
        <v>227</v>
      </c>
      <c r="E345" s="1">
        <f>SUMIF(الجدول336112[الموديل],D345,الجدول336112[العدد])</f>
        <v>394</v>
      </c>
    </row>
    <row r="346" spans="2:5" x14ac:dyDescent="0.2">
      <c r="B346" s="1" t="s">
        <v>327</v>
      </c>
      <c r="C346" s="1" t="s">
        <v>303</v>
      </c>
      <c r="D346" s="1" t="s">
        <v>228</v>
      </c>
      <c r="E346" s="1">
        <f>SUMIF(الجدول336112[الموديل],D346,الجدول336112[العدد])</f>
        <v>99</v>
      </c>
    </row>
    <row r="347" spans="2:5" x14ac:dyDescent="0.2">
      <c r="B347" s="1" t="s">
        <v>327</v>
      </c>
      <c r="C347" s="1" t="s">
        <v>303</v>
      </c>
      <c r="D347" s="1" t="s">
        <v>229</v>
      </c>
      <c r="E347" s="1">
        <f>SUMIF(الجدول336112[الموديل],D347,الجدول336112[العدد])</f>
        <v>100</v>
      </c>
    </row>
    <row r="348" spans="2:5" x14ac:dyDescent="0.2">
      <c r="B348" s="1" t="s">
        <v>327</v>
      </c>
      <c r="C348" s="1" t="s">
        <v>303</v>
      </c>
      <c r="D348" s="1" t="s">
        <v>230</v>
      </c>
      <c r="E348" s="1">
        <f>SUMIF(الجدول336112[الموديل],D348,الجدول336112[العدد])</f>
        <v>85</v>
      </c>
    </row>
    <row r="349" spans="2:5" x14ac:dyDescent="0.2">
      <c r="B349" s="1" t="s">
        <v>329</v>
      </c>
      <c r="C349" s="1" t="s">
        <v>305</v>
      </c>
      <c r="D349" s="1" t="s">
        <v>234</v>
      </c>
      <c r="E349" s="1">
        <f>SUMIF(الجدول336112[الموديل],D349,الجدول336112[العدد])</f>
        <v>100</v>
      </c>
    </row>
    <row r="350" spans="2:5" x14ac:dyDescent="0.2">
      <c r="B350" s="1" t="s">
        <v>329</v>
      </c>
      <c r="C350" s="1" t="s">
        <v>305</v>
      </c>
      <c r="D350" s="1" t="s">
        <v>235</v>
      </c>
      <c r="E350" s="1">
        <f>SUMIF(الجدول336112[الموديل],D350,الجدول336112[العدد])</f>
        <v>100</v>
      </c>
    </row>
    <row r="351" spans="2:5" x14ac:dyDescent="0.2">
      <c r="B351" s="1" t="s">
        <v>330</v>
      </c>
      <c r="C351" s="1" t="s">
        <v>306</v>
      </c>
      <c r="D351" s="1" t="s">
        <v>236</v>
      </c>
      <c r="E351" s="1">
        <f>SUMIF(الجدول336112[الموديل],D351,الجدول336112[العدد])</f>
        <v>500</v>
      </c>
    </row>
    <row r="352" spans="2:5" x14ac:dyDescent="0.2">
      <c r="B352" s="1" t="s">
        <v>330</v>
      </c>
      <c r="C352" s="1" t="s">
        <v>306</v>
      </c>
      <c r="D352" s="1" t="s">
        <v>237</v>
      </c>
      <c r="E352" s="1">
        <f>SUMIF(الجدول336112[الموديل],D352,الجدول336112[العدد])</f>
        <v>150</v>
      </c>
    </row>
    <row r="353" spans="2:5" x14ac:dyDescent="0.2">
      <c r="B353" s="1" t="s">
        <v>332</v>
      </c>
      <c r="C353" s="1" t="s">
        <v>308</v>
      </c>
      <c r="D353" s="1" t="s">
        <v>238</v>
      </c>
      <c r="E353" s="1">
        <f>SUMIF(الجدول336112[الموديل],D353,الجدول336112[العدد])</f>
        <v>5000</v>
      </c>
    </row>
    <row r="354" spans="2:5" x14ac:dyDescent="0.2">
      <c r="B354" s="1" t="s">
        <v>332</v>
      </c>
      <c r="C354" s="1" t="s">
        <v>308</v>
      </c>
      <c r="D354" s="1" t="s">
        <v>239</v>
      </c>
      <c r="E354" s="1">
        <f>SUMIF(الجدول336112[الموديل],D354,الجدول336112[العدد])</f>
        <v>50</v>
      </c>
    </row>
    <row r="355" spans="2:5" x14ac:dyDescent="0.2">
      <c r="B355" s="1" t="s">
        <v>332</v>
      </c>
      <c r="C355" s="1" t="s">
        <v>308</v>
      </c>
      <c r="D355" s="1" t="s">
        <v>240</v>
      </c>
      <c r="E355" s="1">
        <f>SUMIF(الجدول336112[الموديل],D355,الجدول336112[العدد])</f>
        <v>1000</v>
      </c>
    </row>
    <row r="356" spans="2:5" x14ac:dyDescent="0.2">
      <c r="B356" s="1" t="s">
        <v>333</v>
      </c>
      <c r="C356" s="1" t="s">
        <v>309</v>
      </c>
      <c r="D356" s="1" t="s">
        <v>241</v>
      </c>
      <c r="E356" s="1">
        <f>SUMIF(الجدول336112[الموديل],D356,الجدول336112[العدد])</f>
        <v>3</v>
      </c>
    </row>
    <row r="357" spans="2:5" x14ac:dyDescent="0.2">
      <c r="B357" s="1" t="s">
        <v>333</v>
      </c>
      <c r="C357" s="1" t="s">
        <v>309</v>
      </c>
      <c r="D357" s="1" t="s">
        <v>717</v>
      </c>
      <c r="E357" s="1">
        <f>SUMIF(الجدول336112[الموديل],D357,الجدول336112[العدد])</f>
        <v>10</v>
      </c>
    </row>
    <row r="358" spans="2:5" x14ac:dyDescent="0.2">
      <c r="B358" s="1" t="s">
        <v>333</v>
      </c>
      <c r="C358" s="1" t="s">
        <v>309</v>
      </c>
      <c r="D358" s="1" t="s">
        <v>718</v>
      </c>
      <c r="E358" s="1">
        <f>SUMIF(الجدول336112[الموديل],D358,الجدول336112[العدد])</f>
        <v>2</v>
      </c>
    </row>
    <row r="359" spans="2:5" x14ac:dyDescent="0.2">
      <c r="B359" s="1" t="s">
        <v>333</v>
      </c>
      <c r="C359" s="1" t="s">
        <v>309</v>
      </c>
      <c r="D359" s="1" t="s">
        <v>242</v>
      </c>
      <c r="E359" s="1">
        <f>SUMIF(الجدول336112[الموديل],D359,الجدول336112[العدد])</f>
        <v>0</v>
      </c>
    </row>
    <row r="360" spans="2:5" x14ac:dyDescent="0.2">
      <c r="B360" s="1" t="s">
        <v>333</v>
      </c>
      <c r="C360" s="1" t="s">
        <v>309</v>
      </c>
      <c r="D360" s="1" t="s">
        <v>243</v>
      </c>
      <c r="E360" s="1">
        <f>SUMIF(الجدول336112[الموديل],D360,الجدول336112[العدد])</f>
        <v>2</v>
      </c>
    </row>
    <row r="361" spans="2:5" x14ac:dyDescent="0.2">
      <c r="B361" s="1" t="s">
        <v>333</v>
      </c>
      <c r="C361" s="1" t="s">
        <v>309</v>
      </c>
      <c r="D361" s="1" t="s">
        <v>244</v>
      </c>
      <c r="E361" s="1">
        <f>SUMIF(الجدول336112[الموديل],D361,الجدول336112[العدد])</f>
        <v>0</v>
      </c>
    </row>
    <row r="362" spans="2:5" x14ac:dyDescent="0.2">
      <c r="B362" s="1" t="s">
        <v>489</v>
      </c>
      <c r="C362" s="1" t="s">
        <v>311</v>
      </c>
      <c r="D362" s="1" t="s">
        <v>246</v>
      </c>
      <c r="E362" s="1">
        <f>SUMIF(الجدول336112[الموديل],D362,الجدول336112[العدد])</f>
        <v>75</v>
      </c>
    </row>
    <row r="363" spans="2:5" x14ac:dyDescent="0.2">
      <c r="B363" s="1" t="s">
        <v>515</v>
      </c>
      <c r="C363" s="1" t="s">
        <v>311</v>
      </c>
      <c r="D363" s="1" t="s">
        <v>249</v>
      </c>
      <c r="E363" s="1">
        <f>SUMIF(الجدول336112[الموديل],D363,الجدول336112[العدد])</f>
        <v>2</v>
      </c>
    </row>
    <row r="364" spans="2:5" x14ac:dyDescent="0.2">
      <c r="B364" s="1" t="s">
        <v>480</v>
      </c>
      <c r="C364" s="1" t="s">
        <v>311</v>
      </c>
      <c r="D364" s="1" t="s">
        <v>251</v>
      </c>
      <c r="E364" s="1">
        <f>SUMIF(الجدول336112[الموديل],D364,الجدول336112[العدد])</f>
        <v>64</v>
      </c>
    </row>
    <row r="365" spans="2:5" x14ac:dyDescent="0.2">
      <c r="B365" s="1" t="s">
        <v>483</v>
      </c>
      <c r="C365" s="1" t="s">
        <v>311</v>
      </c>
      <c r="D365" s="1" t="s">
        <v>252</v>
      </c>
      <c r="E365" s="1">
        <f>SUMIF(الجدول336112[الموديل],D365,الجدول336112[العدد])</f>
        <v>15</v>
      </c>
    </row>
    <row r="366" spans="2:5" x14ac:dyDescent="0.2">
      <c r="B366" s="1" t="s">
        <v>490</v>
      </c>
      <c r="C366" s="1" t="s">
        <v>311</v>
      </c>
      <c r="D366" s="1" t="s">
        <v>253</v>
      </c>
      <c r="E366" s="1">
        <f>SUMIF(الجدول336112[الموديل],D366,الجدول336112[العدد])</f>
        <v>75</v>
      </c>
    </row>
    <row r="367" spans="2:5" x14ac:dyDescent="0.2">
      <c r="B367" s="1" t="s">
        <v>522</v>
      </c>
      <c r="C367" s="1" t="s">
        <v>311</v>
      </c>
      <c r="D367" s="1" t="s">
        <v>254</v>
      </c>
      <c r="E367" s="1">
        <f>SUMIF(الجدول336112[الموديل],D367,الجدول336112[العدد])</f>
        <v>84</v>
      </c>
    </row>
    <row r="368" spans="2:5" x14ac:dyDescent="0.2">
      <c r="B368" s="1" t="s">
        <v>523</v>
      </c>
      <c r="C368" s="1" t="s">
        <v>311</v>
      </c>
      <c r="D368" s="1" t="s">
        <v>255</v>
      </c>
      <c r="E368" s="1">
        <f>SUMIF(الجدول336112[الموديل],D368,الجدول336112[العدد])</f>
        <v>83</v>
      </c>
    </row>
    <row r="369" spans="2:5" x14ac:dyDescent="0.2">
      <c r="B369" s="1" t="s">
        <v>491</v>
      </c>
      <c r="C369" s="1" t="s">
        <v>311</v>
      </c>
      <c r="D369" s="1" t="s">
        <v>256</v>
      </c>
      <c r="E369" s="1">
        <f>SUMIF(الجدول336112[الموديل],D369,الجدول336112[العدد])</f>
        <v>9</v>
      </c>
    </row>
    <row r="370" spans="2:5" x14ac:dyDescent="0.2">
      <c r="B370" s="1" t="s">
        <v>481</v>
      </c>
      <c r="C370" s="1" t="s">
        <v>311</v>
      </c>
      <c r="D370" s="1" t="s">
        <v>257</v>
      </c>
      <c r="E370" s="1">
        <f>SUMIF(الجدول336112[الموديل],D370,الجدول336112[العدد])</f>
        <v>35</v>
      </c>
    </row>
    <row r="371" spans="2:5" x14ac:dyDescent="0.2">
      <c r="B371" s="1" t="s">
        <v>482</v>
      </c>
      <c r="C371" s="1" t="s">
        <v>311</v>
      </c>
      <c r="D371" s="1" t="s">
        <v>258</v>
      </c>
      <c r="E371" s="1">
        <f>SUMIF(الجدول336112[الموديل],D371,الجدول336112[العدد])</f>
        <v>169</v>
      </c>
    </row>
    <row r="372" spans="2:5" x14ac:dyDescent="0.2">
      <c r="B372" s="1" t="s">
        <v>488</v>
      </c>
      <c r="C372" s="1" t="s">
        <v>311</v>
      </c>
      <c r="D372" s="1" t="s">
        <v>259</v>
      </c>
      <c r="E372" s="1">
        <f>SUMIF(الجدول336112[الموديل],D372,الجدول336112[العدد])</f>
        <v>70</v>
      </c>
    </row>
    <row r="373" spans="2:5" x14ac:dyDescent="0.2">
      <c r="B373" s="1" t="s">
        <v>484</v>
      </c>
      <c r="C373" s="1" t="s">
        <v>311</v>
      </c>
      <c r="D373" s="1" t="s">
        <v>260</v>
      </c>
      <c r="E373" s="1">
        <f>SUMIF(الجدول336112[الموديل],D373,الجدول336112[العدد])</f>
        <v>4</v>
      </c>
    </row>
    <row r="374" spans="2:5" x14ac:dyDescent="0.2">
      <c r="B374" s="1" t="s">
        <v>487</v>
      </c>
      <c r="C374" s="1" t="s">
        <v>311</v>
      </c>
      <c r="D374" s="1" t="s">
        <v>262</v>
      </c>
      <c r="E374" s="1">
        <f>SUMIF(الجدول336112[الموديل],D374,الجدول336112[العدد])</f>
        <v>73</v>
      </c>
    </row>
    <row r="375" spans="2:5" x14ac:dyDescent="0.2">
      <c r="B375" s="1" t="s">
        <v>507</v>
      </c>
      <c r="C375" s="1" t="s">
        <v>311</v>
      </c>
      <c r="D375" s="1" t="s">
        <v>263</v>
      </c>
      <c r="E375" s="1">
        <f>SUMIF(الجدول336112[الموديل],D375,الجدول336112[العدد])</f>
        <v>790</v>
      </c>
    </row>
    <row r="376" spans="2:5" x14ac:dyDescent="0.2">
      <c r="B376" s="1" t="s">
        <v>334</v>
      </c>
      <c r="C376" s="1" t="s">
        <v>311</v>
      </c>
      <c r="D376" s="1" t="s">
        <v>448</v>
      </c>
      <c r="E376" s="1">
        <f>SUMIF(الجدول336112[الموديل],D376,الجدول336112[العدد])</f>
        <v>200</v>
      </c>
    </row>
    <row r="377" spans="2:5" x14ac:dyDescent="0.2">
      <c r="B377" s="1" t="s">
        <v>334</v>
      </c>
      <c r="C377" s="1" t="s">
        <v>311</v>
      </c>
      <c r="D377" s="1" t="s">
        <v>247</v>
      </c>
      <c r="E377" s="1">
        <f>SUMIF(الجدول336112[الموديل],D377,الجدول336112[العدد])</f>
        <v>0</v>
      </c>
    </row>
    <row r="378" spans="2:5" x14ac:dyDescent="0.2">
      <c r="B378" s="1" t="s">
        <v>721</v>
      </c>
      <c r="C378" s="1" t="s">
        <v>311</v>
      </c>
      <c r="D378" s="1" t="s">
        <v>245</v>
      </c>
      <c r="E378" s="1">
        <f>SUMIF(الجدول336112[الموديل],D378,الجدول336112[العدد])</f>
        <v>1</v>
      </c>
    </row>
    <row r="379" spans="2:5" x14ac:dyDescent="0.2">
      <c r="B379" s="1" t="s">
        <v>334</v>
      </c>
      <c r="C379" s="1" t="s">
        <v>311</v>
      </c>
      <c r="D379" s="1" t="s">
        <v>248</v>
      </c>
      <c r="E379" s="1">
        <f>SUMIF(الجدول336112[الموديل],D379,الجدول336112[العدد])</f>
        <v>0</v>
      </c>
    </row>
    <row r="380" spans="2:5" x14ac:dyDescent="0.2">
      <c r="B380" s="1" t="s">
        <v>334</v>
      </c>
      <c r="C380" s="1" t="s">
        <v>311</v>
      </c>
      <c r="D380" s="1" t="s">
        <v>250</v>
      </c>
      <c r="E380" s="1">
        <f>SUMIF(الجدول336112[الموديل],D380,الجدول336112[العدد])</f>
        <v>0</v>
      </c>
    </row>
    <row r="381" spans="2:5" ht="13.5" customHeight="1" x14ac:dyDescent="0.2">
      <c r="B381" s="1" t="s">
        <v>334</v>
      </c>
      <c r="C381" s="1" t="s">
        <v>311</v>
      </c>
      <c r="D381" s="1" t="s">
        <v>261</v>
      </c>
      <c r="E381" s="1">
        <f>SUMIF(الجدول336112[الموديل],D381,الجدول336112[العدد])</f>
        <v>0</v>
      </c>
    </row>
    <row r="382" spans="2:5" x14ac:dyDescent="0.2">
      <c r="B382" s="1" t="s">
        <v>469</v>
      </c>
      <c r="C382" s="1" t="s">
        <v>308</v>
      </c>
      <c r="D382" s="1" t="s">
        <v>468</v>
      </c>
      <c r="E382" s="1">
        <f>SUMIF(الجدول336112[الموديل],D382,الجدول336112[العدد])</f>
        <v>1000</v>
      </c>
    </row>
    <row r="383" spans="2:5" x14ac:dyDescent="0.2">
      <c r="B383" s="1" t="s">
        <v>477</v>
      </c>
      <c r="C383" s="1" t="s">
        <v>308</v>
      </c>
      <c r="D383" s="1" t="s">
        <v>476</v>
      </c>
      <c r="E383" s="1">
        <f>SUMIF(الجدول336112[الموديل],D383,الجدول336112[العدد])</f>
        <v>66</v>
      </c>
    </row>
    <row r="384" spans="2:5" x14ac:dyDescent="0.2">
      <c r="B384" s="1" t="s">
        <v>486</v>
      </c>
      <c r="C384" s="1" t="s">
        <v>308</v>
      </c>
      <c r="D384" s="1" t="s">
        <v>485</v>
      </c>
      <c r="E384" s="1">
        <f>SUMIF(الجدول336112[الموديل],D384,الجدول336112[العدد])</f>
        <v>250</v>
      </c>
    </row>
    <row r="385" spans="2:5" x14ac:dyDescent="0.2">
      <c r="B385" s="1" t="s">
        <v>499</v>
      </c>
      <c r="C385" s="1" t="s">
        <v>497</v>
      </c>
      <c r="D385" s="1" t="s">
        <v>498</v>
      </c>
      <c r="E385" s="1">
        <f>SUMIF(الجدول336112[الموديل],D385,الجدول336112[العدد])</f>
        <v>150</v>
      </c>
    </row>
    <row r="386" spans="2:5" x14ac:dyDescent="0.2">
      <c r="B386" s="1" t="s">
        <v>516</v>
      </c>
      <c r="C386" s="1" t="s">
        <v>497</v>
      </c>
      <c r="D386" s="1" t="s">
        <v>751</v>
      </c>
      <c r="E386" s="1">
        <f>SUMIF(الجدول336112[الموديل],D386,الجدول336112[العدد])</f>
        <v>47</v>
      </c>
    </row>
    <row r="387" spans="2:5" x14ac:dyDescent="0.2">
      <c r="B387" s="1" t="s">
        <v>474</v>
      </c>
      <c r="C387" s="1" t="s">
        <v>472</v>
      </c>
      <c r="D387" s="1" t="s">
        <v>473</v>
      </c>
      <c r="E387" s="1">
        <f>SUMIF(الجدول336112[الموديل],D387,الجدول336112[العدد])</f>
        <v>100</v>
      </c>
    </row>
    <row r="388" spans="2:5" x14ac:dyDescent="0.2">
      <c r="B388" s="1" t="s">
        <v>474</v>
      </c>
      <c r="C388" s="1" t="s">
        <v>472</v>
      </c>
      <c r="D388" s="1" t="s">
        <v>475</v>
      </c>
      <c r="E388" s="1">
        <f>SUMIF(الجدول336112[الموديل],D388,الجدول336112[العدد])</f>
        <v>100</v>
      </c>
    </row>
    <row r="389" spans="2:5" x14ac:dyDescent="0.2">
      <c r="B389" s="1" t="s">
        <v>701</v>
      </c>
      <c r="C389" s="1" t="s">
        <v>702</v>
      </c>
      <c r="D389" s="1" t="s">
        <v>703</v>
      </c>
      <c r="E389" s="1">
        <f>SUMIF(الجدول336112[الموديل],D389,الجدول336112[العدد])</f>
        <v>0</v>
      </c>
    </row>
    <row r="390" spans="2:5" x14ac:dyDescent="0.2">
      <c r="B390" s="1" t="s">
        <v>704</v>
      </c>
      <c r="C390" s="1" t="s">
        <v>705</v>
      </c>
      <c r="D390" s="1" t="s">
        <v>706</v>
      </c>
      <c r="E390" s="1">
        <f>SUMIF(الجدول336112[الموديل],D390,الجدول336112[العدد])</f>
        <v>3</v>
      </c>
    </row>
    <row r="391" spans="2:5" x14ac:dyDescent="0.2">
      <c r="B391" s="1" t="s">
        <v>707</v>
      </c>
      <c r="C391" s="1" t="s">
        <v>708</v>
      </c>
      <c r="D391" s="1" t="s">
        <v>709</v>
      </c>
      <c r="E391" s="1">
        <f>SUMIF(الجدول336112[الموديل],D391,الجدول336112[العدد])</f>
        <v>0</v>
      </c>
    </row>
    <row r="392" spans="2:5" x14ac:dyDescent="0.2">
      <c r="B392" s="1" t="s">
        <v>710</v>
      </c>
      <c r="C392" s="1" t="s">
        <v>711</v>
      </c>
      <c r="D392" s="1" t="s">
        <v>712</v>
      </c>
      <c r="E392" s="1">
        <f>SUMIF(الجدول336112[الموديل],D392,الجدول336112[العدد])</f>
        <v>0</v>
      </c>
    </row>
    <row r="393" spans="2:5" x14ac:dyDescent="0.2">
      <c r="B393" s="1" t="s">
        <v>719</v>
      </c>
      <c r="C393" s="1" t="s">
        <v>722</v>
      </c>
      <c r="D393" s="1" t="s">
        <v>720</v>
      </c>
      <c r="E393" s="1">
        <f>SUMIF(الجدول336112[الموديل],D393,الجدول336112[العدد])</f>
        <v>37</v>
      </c>
    </row>
    <row r="394" spans="2:5" x14ac:dyDescent="0.2">
      <c r="B394" s="1" t="s">
        <v>336</v>
      </c>
      <c r="C394" s="1" t="s">
        <v>313</v>
      </c>
      <c r="D394" s="1" t="s">
        <v>276</v>
      </c>
      <c r="E394" s="1">
        <f>SUMIF(الجدول336112[الموديل],D394,الجدول336112[العدد])</f>
        <v>0</v>
      </c>
    </row>
    <row r="395" spans="2:5" x14ac:dyDescent="0.2">
      <c r="B395" s="1" t="s">
        <v>336</v>
      </c>
      <c r="C395" s="1" t="s">
        <v>314</v>
      </c>
      <c r="D395" s="1" t="s">
        <v>278</v>
      </c>
      <c r="E395" s="1">
        <f>SUMIF(الجدول336112[الموديل],D395,الجدول336112[العدد])</f>
        <v>100</v>
      </c>
    </row>
    <row r="396" spans="2:5" x14ac:dyDescent="0.2">
      <c r="B396" s="1" t="s">
        <v>336</v>
      </c>
      <c r="C396" s="1" t="s">
        <v>314</v>
      </c>
      <c r="D396" s="1" t="s">
        <v>279</v>
      </c>
      <c r="E396" s="1">
        <f>SUMIF(الجدول336112[الموديل],D396,الجدول336112[العدد])</f>
        <v>100</v>
      </c>
    </row>
    <row r="397" spans="2:5" x14ac:dyDescent="0.2">
      <c r="B397" s="1" t="s">
        <v>336</v>
      </c>
      <c r="C397" s="1" t="s">
        <v>314</v>
      </c>
      <c r="D397" s="1" t="s">
        <v>280</v>
      </c>
      <c r="E397" s="1">
        <f>SUMIF(الجدول336112[الموديل],D397,الجدول336112[العدد])</f>
        <v>150</v>
      </c>
    </row>
    <row r="398" spans="2:5" x14ac:dyDescent="0.2">
      <c r="B398" s="1" t="s">
        <v>336</v>
      </c>
      <c r="C398" s="1" t="s">
        <v>314</v>
      </c>
      <c r="D398" s="1" t="s">
        <v>281</v>
      </c>
      <c r="E398" s="1">
        <f>SUMIF(الجدول336112[الموديل],D398,الجدول336112[العدد])</f>
        <v>150</v>
      </c>
    </row>
    <row r="399" spans="2:5" x14ac:dyDescent="0.2">
      <c r="B399" s="1" t="s">
        <v>336</v>
      </c>
      <c r="C399" s="1" t="s">
        <v>314</v>
      </c>
      <c r="D399" s="1" t="s">
        <v>282</v>
      </c>
      <c r="E399" s="1">
        <f>SUMIF(الجدول336112[الموديل],D399,الجدول336112[العدد])</f>
        <v>100</v>
      </c>
    </row>
    <row r="400" spans="2:5" x14ac:dyDescent="0.2">
      <c r="B400" s="1" t="s">
        <v>336</v>
      </c>
      <c r="C400" s="1" t="s">
        <v>314</v>
      </c>
      <c r="D400" s="1" t="s">
        <v>463</v>
      </c>
      <c r="E400" s="1">
        <f>SUMIF(الجدول336112[الموديل],D400,الجدول336112[العدد])</f>
        <v>35</v>
      </c>
    </row>
    <row r="401" spans="2:5" x14ac:dyDescent="0.2">
      <c r="B401" s="1" t="s">
        <v>336</v>
      </c>
      <c r="C401" s="1" t="s">
        <v>315</v>
      </c>
      <c r="D401" s="1" t="s">
        <v>500</v>
      </c>
      <c r="E401" s="1">
        <f>SUMIF(الجدول336112[الموديل],D401,الجدول336112[العدد])</f>
        <v>100</v>
      </c>
    </row>
    <row r="402" spans="2:5" x14ac:dyDescent="0.2">
      <c r="B402" s="1" t="s">
        <v>336</v>
      </c>
      <c r="C402" s="1" t="s">
        <v>315</v>
      </c>
      <c r="D402" s="1" t="s">
        <v>501</v>
      </c>
      <c r="E402" s="1">
        <f>SUMIF(الجدول336112[الموديل],D402,الجدول336112[العدد])</f>
        <v>50</v>
      </c>
    </row>
    <row r="403" spans="2:5" x14ac:dyDescent="0.2">
      <c r="B403" s="1" t="s">
        <v>336</v>
      </c>
      <c r="C403" s="1" t="s">
        <v>315</v>
      </c>
      <c r="D403" s="1" t="s">
        <v>502</v>
      </c>
      <c r="E403" s="1">
        <f>SUMIF(الجدول336112[الموديل],D403,الجدول336112[العدد])</f>
        <v>100</v>
      </c>
    </row>
    <row r="404" spans="2:5" x14ac:dyDescent="0.2">
      <c r="B404" s="1" t="s">
        <v>336</v>
      </c>
      <c r="C404" s="1" t="s">
        <v>315</v>
      </c>
      <c r="D404" s="1" t="s">
        <v>503</v>
      </c>
      <c r="E404" s="1">
        <f>SUMIF(الجدول336112[الموديل],D404,الجدول336112[العدد])</f>
        <v>100</v>
      </c>
    </row>
    <row r="405" spans="2:5" x14ac:dyDescent="0.2">
      <c r="B405" s="1" t="s">
        <v>336</v>
      </c>
      <c r="C405" s="1" t="s">
        <v>315</v>
      </c>
      <c r="D405" s="1" t="s">
        <v>504</v>
      </c>
      <c r="E405" s="1">
        <f>SUMIF(الجدول336112[الموديل],D405,الجدول336112[العدد])</f>
        <v>100</v>
      </c>
    </row>
    <row r="406" spans="2:5" x14ac:dyDescent="0.2">
      <c r="C406" s="1" t="s">
        <v>316</v>
      </c>
      <c r="D406" s="1" t="s">
        <v>293</v>
      </c>
      <c r="E406" s="1">
        <f>SUMIF(الجدول336112[الموديل],D406,الجدول336112[العدد])</f>
        <v>0</v>
      </c>
    </row>
    <row r="407" spans="2:5" x14ac:dyDescent="0.2">
      <c r="B407" s="1" t="s">
        <v>337</v>
      </c>
      <c r="C407" s="1" t="s">
        <v>317</v>
      </c>
      <c r="D407" s="1" t="s">
        <v>294</v>
      </c>
      <c r="E407" s="1">
        <f>SUMIF(الجدول336112[الموديل],D407,الجدول336112[العدد])</f>
        <v>0</v>
      </c>
    </row>
    <row r="408" spans="2:5" x14ac:dyDescent="0.2">
      <c r="B408" s="1" t="s">
        <v>376</v>
      </c>
      <c r="C408" s="1" t="s">
        <v>310</v>
      </c>
      <c r="D408" s="1" t="s">
        <v>393</v>
      </c>
      <c r="E408" s="1">
        <f>SUMIF(الجدول336112[الموديل],D408,الجدول336112[العدد])</f>
        <v>500</v>
      </c>
    </row>
    <row r="409" spans="2:5" x14ac:dyDescent="0.2">
      <c r="B409" s="1" t="s">
        <v>376</v>
      </c>
      <c r="C409" s="1" t="s">
        <v>310</v>
      </c>
      <c r="D409" s="1" t="s">
        <v>394</v>
      </c>
      <c r="E409" s="1">
        <f>SUMIF(الجدول336112[الموديل],D409,الجدول336112[العدد])</f>
        <v>900</v>
      </c>
    </row>
    <row r="410" spans="2:5" x14ac:dyDescent="0.2">
      <c r="B410" s="1" t="s">
        <v>376</v>
      </c>
      <c r="C410" s="1" t="s">
        <v>310</v>
      </c>
      <c r="D410" s="1" t="s">
        <v>395</v>
      </c>
      <c r="E410" s="1">
        <f>SUMIF(الجدول336112[الموديل],D410,الجدول336112[العدد])</f>
        <v>1400</v>
      </c>
    </row>
    <row r="411" spans="2:5" x14ac:dyDescent="0.2">
      <c r="B411" s="1" t="s">
        <v>376</v>
      </c>
      <c r="C411" s="1" t="s">
        <v>310</v>
      </c>
      <c r="D411" s="1" t="s">
        <v>396</v>
      </c>
      <c r="E411" s="1">
        <f>SUMIF(الجدول336112[الموديل],D411,الجدول336112[العدد])</f>
        <v>400</v>
      </c>
    </row>
    <row r="412" spans="2:5" x14ac:dyDescent="0.2">
      <c r="B412" s="1" t="s">
        <v>376</v>
      </c>
      <c r="C412" s="1" t="s">
        <v>310</v>
      </c>
      <c r="D412" s="1" t="s">
        <v>397</v>
      </c>
      <c r="E412" s="1">
        <f>SUMIF(الجدول336112[الموديل],D412,الجدول336112[العدد])</f>
        <v>400</v>
      </c>
    </row>
    <row r="413" spans="2:5" x14ac:dyDescent="0.2">
      <c r="B413" s="1" t="s">
        <v>376</v>
      </c>
      <c r="C413" s="1" t="s">
        <v>310</v>
      </c>
      <c r="D413" s="1" t="s">
        <v>398</v>
      </c>
      <c r="E413" s="1">
        <f>SUMIF(الجدول336112[الموديل],D413,الجدول336112[العدد])</f>
        <v>120</v>
      </c>
    </row>
    <row r="414" spans="2:5" x14ac:dyDescent="0.2">
      <c r="B414" s="1" t="s">
        <v>377</v>
      </c>
      <c r="C414" s="1" t="s">
        <v>310</v>
      </c>
      <c r="D414" s="1" t="s">
        <v>399</v>
      </c>
      <c r="E414" s="1">
        <f>SUMIF(الجدول336112[الموديل],D414,الجدول336112[العدد])</f>
        <v>500</v>
      </c>
    </row>
    <row r="415" spans="2:5" x14ac:dyDescent="0.2">
      <c r="B415" s="1" t="s">
        <v>377</v>
      </c>
      <c r="C415" s="1" t="s">
        <v>310</v>
      </c>
      <c r="D415" s="1" t="s">
        <v>400</v>
      </c>
      <c r="E415" s="1">
        <f>SUMIF(الجدول336112[الموديل],D415,الجدول336112[العدد])</f>
        <v>250</v>
      </c>
    </row>
    <row r="416" spans="2:5" x14ac:dyDescent="0.2">
      <c r="B416" s="1" t="s">
        <v>377</v>
      </c>
      <c r="C416" s="1" t="s">
        <v>310</v>
      </c>
      <c r="D416" s="1" t="s">
        <v>401</v>
      </c>
      <c r="E416" s="1">
        <f>SUMIF(الجدول336112[الموديل],D416,الجدول336112[العدد])</f>
        <v>200</v>
      </c>
    </row>
    <row r="417" spans="2:5" x14ac:dyDescent="0.2">
      <c r="B417" s="1" t="s">
        <v>377</v>
      </c>
      <c r="C417" s="1" t="s">
        <v>310</v>
      </c>
      <c r="D417" s="1" t="s">
        <v>402</v>
      </c>
      <c r="E417" s="1">
        <f>SUMIF(الجدول336112[الموديل],D417,الجدول336112[العدد])</f>
        <v>500</v>
      </c>
    </row>
    <row r="418" spans="2:5" x14ac:dyDescent="0.2">
      <c r="B418" s="1" t="s">
        <v>377</v>
      </c>
      <c r="C418" s="1" t="s">
        <v>310</v>
      </c>
      <c r="D418" s="1" t="s">
        <v>403</v>
      </c>
      <c r="E418" s="1">
        <f>SUMIF(الجدول336112[الموديل],D418,الجدول336112[العدد])</f>
        <v>250</v>
      </c>
    </row>
    <row r="419" spans="2:5" x14ac:dyDescent="0.2">
      <c r="B419" s="1" t="s">
        <v>377</v>
      </c>
      <c r="C419" s="1" t="s">
        <v>310</v>
      </c>
      <c r="D419" s="1" t="s">
        <v>404</v>
      </c>
      <c r="E419" s="1">
        <f>SUMIF(الجدول336112[الموديل],D419,الجدول336112[العدد])</f>
        <v>200</v>
      </c>
    </row>
    <row r="420" spans="2:5" x14ac:dyDescent="0.2">
      <c r="B420" s="1" t="s">
        <v>525</v>
      </c>
      <c r="C420" s="1" t="s">
        <v>455</v>
      </c>
      <c r="D420" s="1" t="s">
        <v>453</v>
      </c>
      <c r="E420" s="1">
        <f>SUMIF(الجدول336112[الموديل],D420,الجدول336112[العدد])</f>
        <v>42400</v>
      </c>
    </row>
    <row r="421" spans="2:5" x14ac:dyDescent="0.2">
      <c r="B421" s="1" t="s">
        <v>526</v>
      </c>
      <c r="C421" s="1" t="s">
        <v>456</v>
      </c>
      <c r="D421" s="1" t="s">
        <v>458</v>
      </c>
      <c r="E421" s="1">
        <f>SUMIF(الجدول336112[الموديل],D421,الجدول336112[العدد])</f>
        <v>100</v>
      </c>
    </row>
    <row r="422" spans="2:5" x14ac:dyDescent="0.2">
      <c r="B422" s="1" t="s">
        <v>526</v>
      </c>
      <c r="C422" s="1" t="s">
        <v>456</v>
      </c>
      <c r="D422" s="1" t="s">
        <v>459</v>
      </c>
      <c r="E422" s="1">
        <f>SUMIF(الجدول336112[الموديل],D422,الجدول336112[العدد])</f>
        <v>100</v>
      </c>
    </row>
    <row r="423" spans="2:5" x14ac:dyDescent="0.2">
      <c r="B423" s="1" t="s">
        <v>526</v>
      </c>
      <c r="C423" s="1" t="s">
        <v>456</v>
      </c>
      <c r="D423" s="1" t="s">
        <v>460</v>
      </c>
      <c r="E423" s="1">
        <f>SUMIF(الجدول336112[الموديل],D423,الجدول336112[العدد])</f>
        <v>100</v>
      </c>
    </row>
    <row r="424" spans="2:5" x14ac:dyDescent="0.2">
      <c r="B424" s="1" t="s">
        <v>526</v>
      </c>
      <c r="C424" s="1" t="s">
        <v>456</v>
      </c>
      <c r="D424" s="1" t="s">
        <v>461</v>
      </c>
      <c r="E424" s="1">
        <f>SUMIF(الجدول336112[الموديل],D424,الجدول336112[العدد])</f>
        <v>100</v>
      </c>
    </row>
    <row r="425" spans="2:5" x14ac:dyDescent="0.2">
      <c r="B425" s="1" t="s">
        <v>526</v>
      </c>
      <c r="C425" s="1" t="s">
        <v>456</v>
      </c>
      <c r="D425" s="1" t="s">
        <v>462</v>
      </c>
      <c r="E425" s="1">
        <f>SUMIF(الجدول336112[الموديل],D425,الجدول336112[العدد])</f>
        <v>100</v>
      </c>
    </row>
    <row r="426" spans="2:5" x14ac:dyDescent="0.2">
      <c r="B426" s="1" t="s">
        <v>427</v>
      </c>
      <c r="C426" s="1" t="s">
        <v>426</v>
      </c>
      <c r="D426" s="1" t="s">
        <v>428</v>
      </c>
      <c r="E426" s="1">
        <f>SUMIF(الجدول336112[الموديل],D426,الجدول336112[العدد])</f>
        <v>1920</v>
      </c>
    </row>
    <row r="427" spans="2:5" x14ac:dyDescent="0.2">
      <c r="B427" s="1" t="s">
        <v>427</v>
      </c>
      <c r="C427" s="1" t="s">
        <v>426</v>
      </c>
      <c r="D427" s="1" t="s">
        <v>429</v>
      </c>
      <c r="E427" s="1">
        <f>SUMIF(الجدول336112[الموديل],D427,الجدول336112[العدد])</f>
        <v>10</v>
      </c>
    </row>
    <row r="428" spans="2:5" x14ac:dyDescent="0.2">
      <c r="B428" s="1" t="s">
        <v>427</v>
      </c>
      <c r="C428" s="1" t="s">
        <v>426</v>
      </c>
      <c r="D428" s="1" t="s">
        <v>430</v>
      </c>
      <c r="E428" s="1">
        <f>SUMIF(الجدول336112[الموديل],D428,الجدول336112[العدد])</f>
        <v>50</v>
      </c>
    </row>
    <row r="429" spans="2:5" x14ac:dyDescent="0.2">
      <c r="B429" s="1" t="s">
        <v>427</v>
      </c>
      <c r="C429" s="1" t="s">
        <v>426</v>
      </c>
      <c r="D429" s="1" t="s">
        <v>431</v>
      </c>
      <c r="E429" s="1">
        <f>SUMIF(الجدول336112[الموديل],D429,الجدول336112[العدد])</f>
        <v>25</v>
      </c>
    </row>
    <row r="430" spans="2:5" x14ac:dyDescent="0.2">
      <c r="B430" s="1" t="s">
        <v>427</v>
      </c>
      <c r="C430" s="1" t="s">
        <v>426</v>
      </c>
      <c r="D430" s="1" t="s">
        <v>432</v>
      </c>
      <c r="E430" s="1">
        <f>SUMIF(الجدول336112[الموديل],D430,الجدول336112[العدد])</f>
        <v>9</v>
      </c>
    </row>
    <row r="431" spans="2:5" x14ac:dyDescent="0.2">
      <c r="B431" s="1" t="s">
        <v>427</v>
      </c>
      <c r="C431" s="1" t="s">
        <v>426</v>
      </c>
      <c r="D431" s="1" t="s">
        <v>433</v>
      </c>
      <c r="E431" s="1">
        <f>SUMIF(الجدول336112[الموديل],D431,الجدول336112[العدد])</f>
        <v>40</v>
      </c>
    </row>
    <row r="432" spans="2:5" x14ac:dyDescent="0.2">
      <c r="B432" s="1" t="s">
        <v>427</v>
      </c>
      <c r="C432" s="1" t="s">
        <v>426</v>
      </c>
      <c r="D432" s="1" t="s">
        <v>434</v>
      </c>
      <c r="E432" s="1">
        <f>SUMIF(الجدول336112[الموديل],D432,الجدول336112[العدد])</f>
        <v>35</v>
      </c>
    </row>
    <row r="433" spans="2:5" x14ac:dyDescent="0.2">
      <c r="B433" s="1" t="s">
        <v>427</v>
      </c>
      <c r="C433" s="1" t="s">
        <v>426</v>
      </c>
      <c r="D433" s="1" t="s">
        <v>417</v>
      </c>
      <c r="E433" s="1">
        <f>SUMIF(الجدول336112[الموديل],D433,الجدول336112[العدد])</f>
        <v>30</v>
      </c>
    </row>
    <row r="434" spans="2:5" x14ac:dyDescent="0.2">
      <c r="B434" s="1" t="s">
        <v>427</v>
      </c>
      <c r="C434" s="1" t="s">
        <v>426</v>
      </c>
      <c r="D434" s="1" t="s">
        <v>418</v>
      </c>
      <c r="E434" s="1">
        <f>SUMIF(الجدول336112[الموديل],D434,الجدول336112[العدد])</f>
        <v>30</v>
      </c>
    </row>
    <row r="435" spans="2:5" x14ac:dyDescent="0.2">
      <c r="B435" s="1" t="s">
        <v>427</v>
      </c>
      <c r="C435" s="1" t="s">
        <v>426</v>
      </c>
      <c r="D435" s="1" t="s">
        <v>419</v>
      </c>
      <c r="E435" s="1">
        <f>SUMIF(الجدول336112[الموديل],D435,الجدول336112[العدد])</f>
        <v>50</v>
      </c>
    </row>
    <row r="436" spans="2:5" x14ac:dyDescent="0.2">
      <c r="B436" s="1" t="s">
        <v>427</v>
      </c>
      <c r="C436" s="1" t="s">
        <v>426</v>
      </c>
      <c r="D436" s="1" t="s">
        <v>420</v>
      </c>
      <c r="E436" s="1">
        <f>SUMIF(الجدول336112[الموديل],D436,الجدول336112[العدد])</f>
        <v>20</v>
      </c>
    </row>
    <row r="437" spans="2:5" x14ac:dyDescent="0.2">
      <c r="B437" s="1" t="s">
        <v>427</v>
      </c>
      <c r="C437" s="1" t="s">
        <v>426</v>
      </c>
      <c r="D437" s="1" t="s">
        <v>421</v>
      </c>
      <c r="E437" s="1">
        <f>SUMIF(الجدول336112[الموديل],D437,الجدول336112[العدد])</f>
        <v>50</v>
      </c>
    </row>
    <row r="438" spans="2:5" x14ac:dyDescent="0.2">
      <c r="B438" s="1" t="s">
        <v>427</v>
      </c>
      <c r="C438" s="1" t="s">
        <v>426</v>
      </c>
      <c r="D438" s="1" t="s">
        <v>422</v>
      </c>
      <c r="E438" s="1">
        <f>SUMIF(الجدول336112[الموديل],D438,الجدول336112[العدد])</f>
        <v>32</v>
      </c>
    </row>
    <row r="439" spans="2:5" x14ac:dyDescent="0.2">
      <c r="B439" s="1" t="s">
        <v>427</v>
      </c>
      <c r="C439" s="1" t="s">
        <v>426</v>
      </c>
      <c r="D439" s="1" t="s">
        <v>416</v>
      </c>
      <c r="E439" s="1">
        <f>SUMIF(الجدول336112[الموديل],D439,الجدول336112[العدد])</f>
        <v>80</v>
      </c>
    </row>
    <row r="440" spans="2:5" x14ac:dyDescent="0.2">
      <c r="B440" s="1" t="s">
        <v>427</v>
      </c>
      <c r="C440" s="1" t="s">
        <v>426</v>
      </c>
      <c r="D440" s="1" t="s">
        <v>423</v>
      </c>
      <c r="E440" s="1">
        <f>SUMIF(الجدول336112[الموديل],D440,الجدول336112[العدد])</f>
        <v>19</v>
      </c>
    </row>
    <row r="441" spans="2:5" x14ac:dyDescent="0.2">
      <c r="B441" s="1" t="s">
        <v>427</v>
      </c>
      <c r="C441" s="1" t="s">
        <v>426</v>
      </c>
      <c r="D441" s="1" t="s">
        <v>424</v>
      </c>
      <c r="E441" s="1">
        <f>SUMIF(الجدول336112[الموديل],D441,الجدول336112[العدد])</f>
        <v>30</v>
      </c>
    </row>
    <row r="442" spans="2:5" x14ac:dyDescent="0.2">
      <c r="B442" s="1" t="s">
        <v>427</v>
      </c>
      <c r="C442" s="1" t="s">
        <v>426</v>
      </c>
      <c r="D442" s="1" t="s">
        <v>425</v>
      </c>
      <c r="E442" s="1">
        <f>SUMIF(الجدول336112[الموديل],D442,الجدول336112[العدد])</f>
        <v>50</v>
      </c>
    </row>
    <row r="443" spans="2:5" x14ac:dyDescent="0.2">
      <c r="B443" s="1" t="s">
        <v>427</v>
      </c>
      <c r="C443" s="1" t="s">
        <v>426</v>
      </c>
      <c r="D443" s="1" t="s">
        <v>435</v>
      </c>
      <c r="E443" s="1">
        <f>SUMIF(الجدول336112[الموديل],D443,الجدول336112[العدد])</f>
        <v>50</v>
      </c>
    </row>
    <row r="444" spans="2:5" x14ac:dyDescent="0.2">
      <c r="B444" s="1" t="s">
        <v>427</v>
      </c>
      <c r="C444" s="1" t="s">
        <v>426</v>
      </c>
      <c r="D444" s="1" t="s">
        <v>436</v>
      </c>
      <c r="E444" s="1">
        <f>SUMIF(الجدول336112[الموديل],D444,الجدول336112[العدد])</f>
        <v>100</v>
      </c>
    </row>
    <row r="445" spans="2:5" x14ac:dyDescent="0.2">
      <c r="B445" s="1" t="s">
        <v>427</v>
      </c>
      <c r="C445" s="1" t="s">
        <v>426</v>
      </c>
      <c r="D445" s="1" t="s">
        <v>437</v>
      </c>
      <c r="E445" s="1">
        <f>SUMIF(الجدول336112[الموديل],D445,الجدول336112[العدد])</f>
        <v>60</v>
      </c>
    </row>
    <row r="446" spans="2:5" x14ac:dyDescent="0.2">
      <c r="B446" s="1" t="s">
        <v>427</v>
      </c>
      <c r="C446" s="1" t="s">
        <v>426</v>
      </c>
      <c r="D446" s="1" t="s">
        <v>438</v>
      </c>
      <c r="E446" s="1">
        <f>SUMIF(الجدول336112[الموديل],D446,الجدول336112[العدد])</f>
        <v>60</v>
      </c>
    </row>
    <row r="447" spans="2:5" x14ac:dyDescent="0.2">
      <c r="B447" s="1" t="s">
        <v>427</v>
      </c>
      <c r="C447" s="1" t="s">
        <v>426</v>
      </c>
      <c r="D447" s="1" t="s">
        <v>439</v>
      </c>
      <c r="E447" s="1">
        <f>SUMIF(الجدول336112[الموديل],D447,الجدول336112[العدد])</f>
        <v>20</v>
      </c>
    </row>
    <row r="448" spans="2:5" x14ac:dyDescent="0.2">
      <c r="B448" s="1" t="s">
        <v>665</v>
      </c>
      <c r="C448" s="1" t="s">
        <v>575</v>
      </c>
      <c r="D448" s="1" t="s">
        <v>574</v>
      </c>
      <c r="E448" s="1">
        <f>SUMIF(الجدول336112[الموديل],D448,الجدول336112[العدد])</f>
        <v>0</v>
      </c>
    </row>
    <row r="449" spans="2:5" x14ac:dyDescent="0.2">
      <c r="B449" s="1" t="s">
        <v>666</v>
      </c>
      <c r="C449" s="1" t="s">
        <v>576</v>
      </c>
      <c r="D449" s="1" t="s">
        <v>577</v>
      </c>
      <c r="E449" s="1">
        <f>SUMIF(الجدول336112[الموديل],D449,الجدول336112[العدد])</f>
        <v>0</v>
      </c>
    </row>
    <row r="450" spans="2:5" x14ac:dyDescent="0.2">
      <c r="B450" s="1" t="s">
        <v>667</v>
      </c>
      <c r="C450" s="1" t="s">
        <v>578</v>
      </c>
      <c r="D450" s="1" t="s">
        <v>579</v>
      </c>
      <c r="E450" s="1">
        <f>SUMIF(الجدول336112[الموديل],D450,الجدول336112[العدد])</f>
        <v>0</v>
      </c>
    </row>
    <row r="451" spans="2:5" x14ac:dyDescent="0.2">
      <c r="B451" s="1" t="s">
        <v>668</v>
      </c>
      <c r="C451" s="1" t="s">
        <v>580</v>
      </c>
      <c r="D451" s="1" t="s">
        <v>581</v>
      </c>
      <c r="E451" s="1">
        <f>SUMIF(الجدول336112[الموديل],D451,الجدول336112[العدد])</f>
        <v>0</v>
      </c>
    </row>
    <row r="452" spans="2:5" x14ac:dyDescent="0.2">
      <c r="B452" s="1" t="s">
        <v>676</v>
      </c>
      <c r="C452" s="1" t="s">
        <v>590</v>
      </c>
      <c r="D452" s="1" t="s">
        <v>589</v>
      </c>
      <c r="E452" s="1">
        <f>SUMIF(الجدول336112[الموديل],D452,الجدول336112[العدد])</f>
        <v>0</v>
      </c>
    </row>
    <row r="453" spans="2:5" x14ac:dyDescent="0.2">
      <c r="B453" s="1" t="s">
        <v>677</v>
      </c>
      <c r="C453" s="1" t="s">
        <v>592</v>
      </c>
      <c r="D453" s="1" t="s">
        <v>591</v>
      </c>
      <c r="E453" s="1">
        <f>SUMIF(الجدول336112[الموديل],D453,الجدول336112[العدد])</f>
        <v>0</v>
      </c>
    </row>
    <row r="454" spans="2:5" x14ac:dyDescent="0.2">
      <c r="B454" s="1" t="s">
        <v>678</v>
      </c>
      <c r="C454" s="1" t="s">
        <v>593</v>
      </c>
      <c r="D454" s="1" t="s">
        <v>594</v>
      </c>
      <c r="E454" s="1">
        <f>SUMIF(الجدول336112[الموديل],D454,الجدول336112[العدد])</f>
        <v>0</v>
      </c>
    </row>
    <row r="455" spans="2:5" x14ac:dyDescent="0.2">
      <c r="B455" s="1" t="s">
        <v>679</v>
      </c>
      <c r="C455" s="1" t="s">
        <v>595</v>
      </c>
      <c r="D455" s="1" t="s">
        <v>596</v>
      </c>
      <c r="E455" s="1">
        <f>SUMIF(الجدول336112[الموديل],D455,الجدول336112[العدد])</f>
        <v>0</v>
      </c>
    </row>
    <row r="456" spans="2:5" x14ac:dyDescent="0.2">
      <c r="B456" s="1" t="s">
        <v>680</v>
      </c>
      <c r="C456" s="1" t="s">
        <v>597</v>
      </c>
      <c r="D456" s="1" t="s">
        <v>598</v>
      </c>
      <c r="E456" s="1">
        <f>SUMIF(الجدول336112[الموديل],D456,الجدول336112[العدد])</f>
        <v>0</v>
      </c>
    </row>
    <row r="457" spans="2:5" x14ac:dyDescent="0.2">
      <c r="B457" s="1" t="s">
        <v>681</v>
      </c>
      <c r="C457" s="1" t="s">
        <v>597</v>
      </c>
      <c r="D457" s="1" t="s">
        <v>599</v>
      </c>
      <c r="E457" s="1">
        <f>SUMIF(الجدول336112[الموديل],D457,الجدول336112[العدد])</f>
        <v>0</v>
      </c>
    </row>
    <row r="458" spans="2:5" x14ac:dyDescent="0.2">
      <c r="B458" s="1" t="s">
        <v>690</v>
      </c>
      <c r="C458" s="1" t="s">
        <v>614</v>
      </c>
      <c r="D458" s="1" t="s">
        <v>615</v>
      </c>
      <c r="E458" s="1">
        <f>SUMIF(الجدول336112[الموديل],D458,الجدول336112[العدد])</f>
        <v>0</v>
      </c>
    </row>
    <row r="459" spans="2:5" x14ac:dyDescent="0.2">
      <c r="B459" s="1" t="s">
        <v>691</v>
      </c>
      <c r="C459" s="1" t="s">
        <v>614</v>
      </c>
      <c r="D459" s="1" t="s">
        <v>616</v>
      </c>
      <c r="E459" s="1">
        <f>SUMIF(الجدول336112[الموديل],D459,الجدول336112[العدد])</f>
        <v>0</v>
      </c>
    </row>
    <row r="460" spans="2:5" x14ac:dyDescent="0.2">
      <c r="B460" s="1" t="s">
        <v>692</v>
      </c>
      <c r="C460" s="1" t="s">
        <v>614</v>
      </c>
      <c r="D460" s="1" t="s">
        <v>617</v>
      </c>
      <c r="E460" s="1">
        <f>SUMIF(الجدول336112[الموديل],D460,الجدول336112[العدد])</f>
        <v>0</v>
      </c>
    </row>
    <row r="461" spans="2:5" x14ac:dyDescent="0.2">
      <c r="B461" s="1" t="s">
        <v>695</v>
      </c>
      <c r="C461" s="1" t="s">
        <v>622</v>
      </c>
      <c r="D461" s="1" t="s">
        <v>621</v>
      </c>
      <c r="E461" s="1">
        <f>SUMIF(الجدول336112[الموديل],D461,الجدول336112[العدد])</f>
        <v>0</v>
      </c>
    </row>
    <row r="462" spans="2:5" x14ac:dyDescent="0.2">
      <c r="B462" s="1" t="s">
        <v>696</v>
      </c>
      <c r="C462" s="1" t="s">
        <v>623</v>
      </c>
      <c r="D462" s="1" t="s">
        <v>624</v>
      </c>
      <c r="E462" s="1">
        <f>SUMIF(الجدول336112[الموديل],D462,الجدول336112[العدد])</f>
        <v>0</v>
      </c>
    </row>
    <row r="463" spans="2:5" x14ac:dyDescent="0.2">
      <c r="B463" s="1" t="s">
        <v>697</v>
      </c>
      <c r="C463" s="1" t="s">
        <v>580</v>
      </c>
      <c r="D463" s="1" t="s">
        <v>625</v>
      </c>
      <c r="E463" s="1">
        <f>SUMIF(الجدول336112[الموديل],D463,الجدول336112[العدد])</f>
        <v>0</v>
      </c>
    </row>
    <row r="464" spans="2:5" x14ac:dyDescent="0.2">
      <c r="B464" s="1" t="s">
        <v>698</v>
      </c>
      <c r="C464" s="1" t="s">
        <v>699</v>
      </c>
      <c r="D464" s="1" t="s">
        <v>700</v>
      </c>
      <c r="E464" s="1">
        <f>SUMIF(الجدول336112[الموديل],D464,الجدول336112[العدد])</f>
        <v>3</v>
      </c>
    </row>
    <row r="465" spans="2:5" x14ac:dyDescent="0.2">
      <c r="B465" s="1" t="s">
        <v>724</v>
      </c>
      <c r="C465" s="1" t="s">
        <v>725</v>
      </c>
      <c r="D465" s="1" t="s">
        <v>726</v>
      </c>
      <c r="E465" s="1">
        <f>SUMIF(الجدول336112[الموديل],D465,الجدول336112[العدد])</f>
        <v>1</v>
      </c>
    </row>
    <row r="466" spans="2:5" x14ac:dyDescent="0.2">
      <c r="B466" s="1" t="s">
        <v>736</v>
      </c>
      <c r="C466" s="1" t="s">
        <v>558</v>
      </c>
      <c r="D466" s="1" t="s">
        <v>737</v>
      </c>
      <c r="E466" s="1">
        <f>SUMIF(الجدول336112[الموديل],D466,الجدول336112[العدد])</f>
        <v>0</v>
      </c>
    </row>
    <row r="467" spans="2:5" x14ac:dyDescent="0.2">
      <c r="B467" s="1" t="s">
        <v>738</v>
      </c>
      <c r="C467" s="1" t="s">
        <v>739</v>
      </c>
      <c r="D467" s="1" t="s">
        <v>740</v>
      </c>
      <c r="E467" s="1">
        <f>SUMIF(الجدول336112[الموديل],D467,الجدول336112[العدد])</f>
        <v>0</v>
      </c>
    </row>
    <row r="468" spans="2:5" x14ac:dyDescent="0.2">
      <c r="B468" s="1" t="s">
        <v>741</v>
      </c>
      <c r="C468" s="1" t="s">
        <v>739</v>
      </c>
      <c r="D468" s="1" t="s">
        <v>742</v>
      </c>
      <c r="E468" s="1">
        <f>SUMIF(الجدول336112[الموديل],D468,الجدول336112[العدد])</f>
        <v>0</v>
      </c>
    </row>
    <row r="469" spans="2:5" x14ac:dyDescent="0.2">
      <c r="B469" s="1" t="s">
        <v>335</v>
      </c>
      <c r="C469" s="1" t="s">
        <v>312</v>
      </c>
      <c r="D469" s="1" t="s">
        <v>744</v>
      </c>
      <c r="E469" s="1">
        <f>SUMIF(الجدول336112[الموديل],D469,الجدول336112[العدد])</f>
        <v>1940</v>
      </c>
    </row>
    <row r="470" spans="2:5" x14ac:dyDescent="0.2">
      <c r="B470" s="1" t="s">
        <v>335</v>
      </c>
      <c r="C470" s="1" t="s">
        <v>312</v>
      </c>
      <c r="D470" s="1" t="s">
        <v>745</v>
      </c>
      <c r="E470" s="1">
        <f>SUMIF(الجدول336112[الموديل],D470,الجدول336112[العدد])</f>
        <v>2274</v>
      </c>
    </row>
    <row r="471" spans="2:5" x14ac:dyDescent="0.2">
      <c r="B471" s="1" t="s">
        <v>335</v>
      </c>
      <c r="C471" s="1" t="s">
        <v>312</v>
      </c>
      <c r="D471" s="1" t="s">
        <v>746</v>
      </c>
      <c r="E471" s="1">
        <f>SUMIF(الجدول336112[الموديل],D471,الجدول336112[العدد])</f>
        <v>742</v>
      </c>
    </row>
    <row r="472" spans="2:5" x14ac:dyDescent="0.2">
      <c r="B472" s="1" t="s">
        <v>335</v>
      </c>
      <c r="C472" s="1" t="s">
        <v>312</v>
      </c>
      <c r="D472" s="1" t="s">
        <v>747</v>
      </c>
      <c r="E472" s="1">
        <f>SUMIF(الجدول336112[الموديل],D472,الجدول336112[العدد])</f>
        <v>668</v>
      </c>
    </row>
    <row r="473" spans="2:5" x14ac:dyDescent="0.2">
      <c r="B473" s="1" t="s">
        <v>753</v>
      </c>
      <c r="D473" s="1" t="s">
        <v>754</v>
      </c>
      <c r="E473" s="1">
        <f>SUMIF(الجدول336112[الموديل],D473,الجدول336112[العدد])</f>
        <v>0</v>
      </c>
    </row>
    <row r="474" spans="2:5" x14ac:dyDescent="0.2">
      <c r="E474" s="1">
        <f>SUMIF(الجدول336112[الموديل],D474,الجدول336112[العدد])</f>
        <v>0</v>
      </c>
    </row>
    <row r="475" spans="2:5" x14ac:dyDescent="0.2">
      <c r="E475" s="1">
        <f>SUMIF(الجدول336112[الموديل],D475,الجدول336112[العدد])</f>
        <v>0</v>
      </c>
    </row>
    <row r="476" spans="2:5" x14ac:dyDescent="0.2">
      <c r="E476" s="1">
        <f>SUMIF(الجدول336112[الموديل],D476,الجدول336112[العدد])</f>
        <v>0</v>
      </c>
    </row>
    <row r="477" spans="2:5" x14ac:dyDescent="0.2">
      <c r="E477" s="1">
        <f>SUMIF(الجدول336112[الموديل],D477,الجدول336112[العدد])</f>
        <v>0</v>
      </c>
    </row>
    <row r="478" spans="2:5" x14ac:dyDescent="0.2">
      <c r="E478" s="1">
        <f>SUMIF(الجدول336112[الموديل],D478,الجدول336112[العدد])</f>
        <v>0</v>
      </c>
    </row>
    <row r="479" spans="2:5" x14ac:dyDescent="0.2">
      <c r="E479" s="1">
        <f>SUMIF(الجدول336112[الموديل],D479,الجدول336112[العدد])</f>
        <v>0</v>
      </c>
    </row>
    <row r="480" spans="2:5" x14ac:dyDescent="0.2">
      <c r="E480" s="1">
        <f>SUMIF(الجدول336112[الموديل],D480,الجدول336112[العدد])</f>
        <v>0</v>
      </c>
    </row>
    <row r="481" spans="5:5" x14ac:dyDescent="0.2">
      <c r="E481" s="1">
        <f>SUMIF(الجدول336112[الموديل],D481,الجدول336112[العدد])</f>
        <v>0</v>
      </c>
    </row>
    <row r="482" spans="5:5" x14ac:dyDescent="0.2">
      <c r="E482" s="1">
        <f>SUMIF(الجدول336112[الموديل],D482,الجدول336112[العدد])</f>
        <v>0</v>
      </c>
    </row>
    <row r="483" spans="5:5" x14ac:dyDescent="0.2">
      <c r="E483" s="1">
        <f>SUMIF(الجدول336112[الموديل],D483,الجدول336112[العدد])</f>
        <v>0</v>
      </c>
    </row>
    <row r="484" spans="5:5" x14ac:dyDescent="0.2">
      <c r="E484" s="1">
        <f>SUMIF(الجدول336112[الموديل],D484,الجدول336112[العدد])</f>
        <v>0</v>
      </c>
    </row>
    <row r="485" spans="5:5" x14ac:dyDescent="0.2">
      <c r="E485" s="1">
        <f>SUMIF(الجدول336112[الموديل],D485,الجدول336112[العدد])</f>
        <v>0</v>
      </c>
    </row>
    <row r="486" spans="5:5" x14ac:dyDescent="0.2">
      <c r="E486" s="1">
        <f>SUMIF(الجدول336112[الموديل],D486,الجدول336112[العدد])</f>
        <v>0</v>
      </c>
    </row>
    <row r="487" spans="5:5" x14ac:dyDescent="0.2">
      <c r="E487" s="1">
        <f>SUMIF(الجدول336112[الموديل],D487,الجدول336112[العدد])</f>
        <v>0</v>
      </c>
    </row>
    <row r="488" spans="5:5" x14ac:dyDescent="0.2">
      <c r="E488" s="1">
        <f>SUMIF(الجدول336112[الموديل],D488,الجدول336112[العدد])</f>
        <v>0</v>
      </c>
    </row>
    <row r="489" spans="5:5" x14ac:dyDescent="0.2">
      <c r="E489" s="1">
        <f>SUMIF(الجدول336112[الموديل],D489,الجدول336112[العدد])</f>
        <v>0</v>
      </c>
    </row>
    <row r="490" spans="5:5" x14ac:dyDescent="0.2">
      <c r="E490" s="1">
        <f>SUMIF(الجدول336112[الموديل],D490,الجدول336112[العدد])</f>
        <v>0</v>
      </c>
    </row>
    <row r="491" spans="5:5" x14ac:dyDescent="0.2">
      <c r="E491" s="1">
        <f>SUMIF(الجدول336112[الموديل],D491,الجدول336112[العدد])</f>
        <v>0</v>
      </c>
    </row>
    <row r="492" spans="5:5" x14ac:dyDescent="0.2">
      <c r="E492" s="1">
        <f>SUMIF(الجدول336112[الموديل],D492,الجدول336112[العدد])</f>
        <v>0</v>
      </c>
    </row>
    <row r="493" spans="5:5" x14ac:dyDescent="0.2">
      <c r="E493" s="1">
        <f>SUMIF(الجدول336112[الموديل],D493,الجدول336112[العدد])</f>
        <v>0</v>
      </c>
    </row>
    <row r="494" spans="5:5" x14ac:dyDescent="0.2">
      <c r="E494" s="1">
        <f>SUMIF(الجدول336112[الموديل],D494,الجدول336112[العدد])</f>
        <v>0</v>
      </c>
    </row>
    <row r="495" spans="5:5" x14ac:dyDescent="0.2">
      <c r="E495" s="1">
        <f>SUMIF(الجدول336112[الموديل],D495,الجدول336112[العدد])</f>
        <v>0</v>
      </c>
    </row>
    <row r="496" spans="5:5" x14ac:dyDescent="0.2">
      <c r="E496" s="1">
        <f>SUMIF(الجدول336112[الموديل],D496,الجدول336112[العدد])</f>
        <v>0</v>
      </c>
    </row>
    <row r="497" spans="5:5" x14ac:dyDescent="0.2">
      <c r="E497" s="1">
        <f>SUMIF(الجدول336112[الموديل],D497,الجدول336112[العدد])</f>
        <v>0</v>
      </c>
    </row>
    <row r="498" spans="5:5" x14ac:dyDescent="0.2">
      <c r="E498" s="1">
        <f>SUMIF(الجدول336112[الموديل],D498,الجدول336112[العدد])</f>
        <v>0</v>
      </c>
    </row>
    <row r="499" spans="5:5" x14ac:dyDescent="0.2">
      <c r="E499" s="1">
        <f>SUMIF(الجدول336112[الموديل],D499,الجدول336112[العدد])</f>
        <v>0</v>
      </c>
    </row>
    <row r="500" spans="5:5" x14ac:dyDescent="0.2">
      <c r="E500" s="1">
        <f>SUMIF(الجدول336112[الموديل],D500,الجدول336112[العدد])</f>
        <v>0</v>
      </c>
    </row>
    <row r="501" spans="5:5" x14ac:dyDescent="0.2">
      <c r="E501" s="1">
        <f>SUMIF(الجدول336112[الموديل],D501,الجدول336112[العدد])</f>
        <v>0</v>
      </c>
    </row>
    <row r="502" spans="5:5" x14ac:dyDescent="0.2">
      <c r="E502" s="1">
        <f>SUMIF(الجدول336112[الموديل],D502,الجدول336112[العدد])</f>
        <v>0</v>
      </c>
    </row>
    <row r="503" spans="5:5" x14ac:dyDescent="0.2">
      <c r="E503" s="1">
        <f>SUMIF(الجدول336112[الموديل],D503,الجدول336112[العدد])</f>
        <v>0</v>
      </c>
    </row>
    <row r="504" spans="5:5" x14ac:dyDescent="0.2">
      <c r="E504" s="1">
        <f>SUMIF(الجدول336112[الموديل],D504,الجدول336112[العدد])</f>
        <v>0</v>
      </c>
    </row>
    <row r="505" spans="5:5" x14ac:dyDescent="0.2">
      <c r="E505" s="1">
        <f>SUMIF(الجدول336112[الموديل],D505,الجدول336112[العدد])</f>
        <v>0</v>
      </c>
    </row>
    <row r="506" spans="5:5" x14ac:dyDescent="0.2">
      <c r="E506" s="1">
        <f>SUMIF(الجدول336112[الموديل],D506,الجدول336112[العدد])</f>
        <v>0</v>
      </c>
    </row>
    <row r="507" spans="5:5" x14ac:dyDescent="0.2">
      <c r="E507" s="1">
        <f>SUMIF(الجدول336112[الموديل],D507,الجدول336112[العدد])</f>
        <v>0</v>
      </c>
    </row>
    <row r="508" spans="5:5" x14ac:dyDescent="0.2">
      <c r="E508" s="1">
        <f>SUMIF(الجدول336112[الموديل],D508,الجدول336112[العدد])</f>
        <v>0</v>
      </c>
    </row>
    <row r="509" spans="5:5" x14ac:dyDescent="0.2">
      <c r="E509" s="1">
        <f>SUMIF(الجدول336112[الموديل],D509,الجدول336112[العدد])</f>
        <v>0</v>
      </c>
    </row>
    <row r="510" spans="5:5" x14ac:dyDescent="0.2">
      <c r="E510" s="1">
        <f>SUMIF(الجدول336112[الموديل],D510,الجدول336112[العدد])</f>
        <v>0</v>
      </c>
    </row>
    <row r="511" spans="5:5" x14ac:dyDescent="0.2">
      <c r="E511" s="1">
        <f>SUMIF(الجدول336112[الموديل],D511,الجدول336112[العدد])</f>
        <v>0</v>
      </c>
    </row>
    <row r="512" spans="5:5" x14ac:dyDescent="0.2">
      <c r="E512" s="1">
        <f>SUMIF(الجدول336112[الموديل],D512,الجدول336112[العدد])</f>
        <v>0</v>
      </c>
    </row>
    <row r="513" spans="5:5" x14ac:dyDescent="0.2">
      <c r="E513" s="1">
        <f>SUMIF(الجدول336112[الموديل],D513,الجدول336112[العدد])</f>
        <v>0</v>
      </c>
    </row>
    <row r="514" spans="5:5" x14ac:dyDescent="0.2">
      <c r="E514" s="1">
        <f>SUMIF(الجدول336112[الموديل],D514,الجدول336112[العدد])</f>
        <v>0</v>
      </c>
    </row>
    <row r="515" spans="5:5" x14ac:dyDescent="0.2">
      <c r="E515" s="1">
        <f>SUMIF(الجدول336112[الموديل],D515,الجدول336112[العدد])</f>
        <v>0</v>
      </c>
    </row>
    <row r="516" spans="5:5" x14ac:dyDescent="0.2">
      <c r="E516" s="1">
        <f>SUMIF(الجدول336112[الموديل],D516,الجدول336112[العدد])</f>
        <v>0</v>
      </c>
    </row>
    <row r="517" spans="5:5" x14ac:dyDescent="0.2">
      <c r="E517" s="1">
        <f>SUMIF(الجدول336112[الموديل],D517,الجدول336112[العدد])</f>
        <v>0</v>
      </c>
    </row>
    <row r="518" spans="5:5" x14ac:dyDescent="0.2">
      <c r="E518" s="1">
        <f>SUMIF(الجدول336112[الموديل],D518,الجدول336112[العدد])</f>
        <v>0</v>
      </c>
    </row>
    <row r="519" spans="5:5" x14ac:dyDescent="0.2">
      <c r="E519" s="1">
        <f>SUMIF(الجدول336112[الموديل],D519,الجدول336112[العدد])</f>
        <v>0</v>
      </c>
    </row>
    <row r="520" spans="5:5" x14ac:dyDescent="0.2">
      <c r="E520" s="1">
        <f>SUMIF(الجدول336112[الموديل],D520,الجدول336112[العدد])</f>
        <v>0</v>
      </c>
    </row>
    <row r="521" spans="5:5" x14ac:dyDescent="0.2">
      <c r="E521" s="1">
        <f>SUMIF(الجدول336112[الموديل],D521,الجدول336112[العدد])</f>
        <v>0</v>
      </c>
    </row>
    <row r="522" spans="5:5" x14ac:dyDescent="0.2">
      <c r="E522" s="1">
        <f>SUMIF(الجدول336112[الموديل],D522,الجدول336112[العدد])</f>
        <v>0</v>
      </c>
    </row>
    <row r="523" spans="5:5" x14ac:dyDescent="0.2">
      <c r="E523" s="1">
        <f>SUMIF(الجدول336112[الموديل],D523,الجدول336112[العدد])</f>
        <v>0</v>
      </c>
    </row>
    <row r="524" spans="5:5" x14ac:dyDescent="0.2">
      <c r="E524" s="1">
        <f>SUMIF(الجدول336112[الموديل],D524,الجدول336112[العدد])</f>
        <v>0</v>
      </c>
    </row>
    <row r="525" spans="5:5" x14ac:dyDescent="0.2">
      <c r="E525" s="1">
        <f>SUMIF(الجدول336112[الموديل],D525,الجدول336112[العدد])</f>
        <v>0</v>
      </c>
    </row>
    <row r="526" spans="5:5" x14ac:dyDescent="0.2">
      <c r="E526" s="1">
        <f>SUMIF(الجدول336112[الموديل],D526,الجدول336112[العدد])</f>
        <v>0</v>
      </c>
    </row>
    <row r="527" spans="5:5" x14ac:dyDescent="0.2">
      <c r="E527" s="1">
        <f>SUMIF(الجدول336112[الموديل],D527,الجدول336112[العدد])</f>
        <v>0</v>
      </c>
    </row>
    <row r="528" spans="5:5" x14ac:dyDescent="0.2">
      <c r="E528" s="1">
        <f>SUMIF(الجدول336112[الموديل],D528,الجدول336112[العدد])</f>
        <v>0</v>
      </c>
    </row>
    <row r="529" spans="5:5" x14ac:dyDescent="0.2">
      <c r="E529" s="1">
        <f>SUMIF(الجدول336112[الموديل],D529,الجدول336112[العدد])</f>
        <v>0</v>
      </c>
    </row>
    <row r="530" spans="5:5" x14ac:dyDescent="0.2">
      <c r="E530" s="1">
        <f>SUMIF(الجدول336112[الموديل],D530,الجدول336112[العدد])</f>
        <v>0</v>
      </c>
    </row>
    <row r="531" spans="5:5" x14ac:dyDescent="0.2">
      <c r="E531" s="1">
        <f>SUMIF(الجدول336112[الموديل],D531,الجدول336112[العدد])</f>
        <v>0</v>
      </c>
    </row>
    <row r="532" spans="5:5" x14ac:dyDescent="0.2">
      <c r="E532" s="1">
        <f>SUMIF(الجدول336112[الموديل],D532,الجدول336112[العدد])</f>
        <v>0</v>
      </c>
    </row>
    <row r="533" spans="5:5" x14ac:dyDescent="0.2">
      <c r="E533" s="1">
        <f>SUMIF(الجدول336112[الموديل],D533,الجدول336112[العدد])</f>
        <v>0</v>
      </c>
    </row>
    <row r="534" spans="5:5" x14ac:dyDescent="0.2">
      <c r="E534" s="1">
        <f>SUMIF(الجدول336112[الموديل],D534,الجدول336112[العدد])</f>
        <v>0</v>
      </c>
    </row>
    <row r="535" spans="5:5" x14ac:dyDescent="0.2">
      <c r="E535" s="1">
        <f>SUMIF(الجدول336112[الموديل],D535,الجدول336112[العدد])</f>
        <v>0</v>
      </c>
    </row>
    <row r="536" spans="5:5" x14ac:dyDescent="0.2">
      <c r="E536" s="1">
        <f>SUMIF(الجدول336112[الموديل],D536,الجدول336112[العدد])</f>
        <v>0</v>
      </c>
    </row>
    <row r="537" spans="5:5" x14ac:dyDescent="0.2">
      <c r="E537" s="1">
        <f>SUMIF(الجدول336112[الموديل],D537,الجدول336112[العدد])</f>
        <v>0</v>
      </c>
    </row>
    <row r="538" spans="5:5" x14ac:dyDescent="0.2">
      <c r="E538" s="1">
        <f>SUMIF(الجدول336112[الموديل],D538,الجدول336112[العدد])</f>
        <v>0</v>
      </c>
    </row>
    <row r="539" spans="5:5" x14ac:dyDescent="0.2">
      <c r="E539" s="1">
        <f>SUMIF(الجدول336112[الموديل],D539,الجدول336112[العدد])</f>
        <v>0</v>
      </c>
    </row>
    <row r="540" spans="5:5" x14ac:dyDescent="0.2">
      <c r="E540" s="1">
        <f>SUMIF(الجدول336112[الموديل],D540,الجدول336112[العدد])</f>
        <v>0</v>
      </c>
    </row>
    <row r="541" spans="5:5" x14ac:dyDescent="0.2">
      <c r="E541" s="1">
        <f>SUMIF(الجدول336112[الموديل],D541,الجدول336112[العدد])</f>
        <v>0</v>
      </c>
    </row>
    <row r="542" spans="5:5" x14ac:dyDescent="0.2">
      <c r="E542" s="1">
        <f>SUMIF(الجدول336112[الموديل],D542,الجدول336112[العدد])</f>
        <v>0</v>
      </c>
    </row>
    <row r="543" spans="5:5" x14ac:dyDescent="0.2">
      <c r="E543" s="1">
        <f>SUMIF(الجدول336112[الموديل],D543,الجدول336112[العدد])</f>
        <v>0</v>
      </c>
    </row>
    <row r="544" spans="5:5" x14ac:dyDescent="0.2">
      <c r="E544" s="1">
        <f>SUMIF(الجدول336112[الموديل],D544,الجدول336112[العدد])</f>
        <v>0</v>
      </c>
    </row>
    <row r="545" spans="5:5" x14ac:dyDescent="0.2">
      <c r="E545" s="1">
        <f>SUMIF(الجدول336112[الموديل],D545,الجدول336112[العدد])</f>
        <v>0</v>
      </c>
    </row>
    <row r="546" spans="5:5" x14ac:dyDescent="0.2">
      <c r="E546" s="1">
        <f>SUMIF(الجدول336112[الموديل],D546,الجدول336112[العدد])</f>
        <v>0</v>
      </c>
    </row>
    <row r="547" spans="5:5" x14ac:dyDescent="0.2">
      <c r="E547" s="1">
        <f>SUMIF(الجدول336112[الموديل],D547,الجدول336112[العدد])</f>
        <v>0</v>
      </c>
    </row>
    <row r="548" spans="5:5" x14ac:dyDescent="0.2">
      <c r="E548" s="1">
        <f>SUMIF(الجدول336112[الموديل],D548,الجدول336112[العدد])</f>
        <v>0</v>
      </c>
    </row>
    <row r="549" spans="5:5" x14ac:dyDescent="0.2">
      <c r="E549" s="1">
        <f>SUMIF(الجدول336112[الموديل],D549,الجدول336112[العدد])</f>
        <v>0</v>
      </c>
    </row>
    <row r="550" spans="5:5" x14ac:dyDescent="0.2">
      <c r="E550" s="1">
        <f>SUMIF(الجدول336112[الموديل],D550,الجدول336112[العدد])</f>
        <v>0</v>
      </c>
    </row>
    <row r="551" spans="5:5" x14ac:dyDescent="0.2">
      <c r="E551" s="1">
        <f>SUMIF(الجدول336112[الموديل],D551,الجدول336112[العدد])</f>
        <v>0</v>
      </c>
    </row>
    <row r="552" spans="5:5" x14ac:dyDescent="0.2">
      <c r="E552" s="1">
        <f>SUMIF(الجدول336112[الموديل],D552,الجدول336112[العدد])</f>
        <v>0</v>
      </c>
    </row>
    <row r="553" spans="5:5" x14ac:dyDescent="0.2">
      <c r="E553" s="1">
        <f>SUMIF(الجدول336112[الموديل],D553,الجدول336112[العدد])</f>
        <v>0</v>
      </c>
    </row>
    <row r="554" spans="5:5" x14ac:dyDescent="0.2">
      <c r="E554" s="1">
        <f>SUMIF(الجدول336112[الموديل],D554,الجدول336112[العدد])</f>
        <v>0</v>
      </c>
    </row>
    <row r="555" spans="5:5" x14ac:dyDescent="0.2">
      <c r="E555" s="1">
        <f>SUMIF(الجدول336112[الموديل],D555,الجدول336112[العدد])</f>
        <v>0</v>
      </c>
    </row>
    <row r="556" spans="5:5" x14ac:dyDescent="0.2">
      <c r="E556" s="1">
        <f>SUMIF(الجدول336112[الموديل],D556,الجدول336112[العدد])</f>
        <v>0</v>
      </c>
    </row>
    <row r="557" spans="5:5" x14ac:dyDescent="0.2">
      <c r="E557" s="1">
        <f>SUMIF(الجدول336112[الموديل],D557,الجدول336112[العدد])</f>
        <v>0</v>
      </c>
    </row>
    <row r="558" spans="5:5" x14ac:dyDescent="0.2">
      <c r="E558" s="1">
        <f>SUMIF(الجدول336112[الموديل],D558,الجدول336112[العدد])</f>
        <v>0</v>
      </c>
    </row>
    <row r="559" spans="5:5" x14ac:dyDescent="0.2">
      <c r="E559" s="1">
        <f>SUMIF(الجدول336112[الموديل],D559,الجدول336112[العدد])</f>
        <v>0</v>
      </c>
    </row>
    <row r="560" spans="5:5" x14ac:dyDescent="0.2">
      <c r="E560" s="1">
        <f>SUMIF(الجدول336112[الموديل],D560,الجدول336112[العدد])</f>
        <v>0</v>
      </c>
    </row>
    <row r="561" spans="5:5" x14ac:dyDescent="0.2">
      <c r="E561" s="1">
        <f>SUMIF(الجدول336112[الموديل],D561,الجدول336112[العدد])</f>
        <v>0</v>
      </c>
    </row>
    <row r="562" spans="5:5" x14ac:dyDescent="0.2">
      <c r="E562" s="1">
        <f>SUMIF(الجدول336112[الموديل],D562,الجدول336112[العدد])</f>
        <v>0</v>
      </c>
    </row>
    <row r="563" spans="5:5" x14ac:dyDescent="0.2">
      <c r="E563" s="1">
        <f>SUMIF(الجدول336112[الموديل],D563,الجدول336112[العدد])</f>
        <v>0</v>
      </c>
    </row>
    <row r="564" spans="5:5" x14ac:dyDescent="0.2">
      <c r="E564" s="1">
        <f>SUMIF(الجدول336112[الموديل],D564,الجدول336112[العدد])</f>
        <v>0</v>
      </c>
    </row>
    <row r="565" spans="5:5" x14ac:dyDescent="0.2">
      <c r="E565" s="1">
        <f>SUMIF(الجدول336112[الموديل],D565,الجدول336112[العدد])</f>
        <v>0</v>
      </c>
    </row>
    <row r="566" spans="5:5" x14ac:dyDescent="0.2">
      <c r="E566" s="1">
        <f>SUMIF(الجدول336112[الموديل],D566,الجدول336112[العدد])</f>
        <v>0</v>
      </c>
    </row>
    <row r="567" spans="5:5" x14ac:dyDescent="0.2">
      <c r="E567" s="1">
        <f>SUMIF(الجدول336112[الموديل],D567,الجدول336112[العدد])</f>
        <v>0</v>
      </c>
    </row>
    <row r="568" spans="5:5" x14ac:dyDescent="0.2">
      <c r="E568" s="1">
        <f>SUMIF(الجدول336112[الموديل],D568,الجدول336112[العدد])</f>
        <v>0</v>
      </c>
    </row>
    <row r="569" spans="5:5" x14ac:dyDescent="0.2">
      <c r="E569" s="1">
        <f>SUMIF(الجدول336112[الموديل],D569,الجدول336112[العدد])</f>
        <v>0</v>
      </c>
    </row>
    <row r="570" spans="5:5" x14ac:dyDescent="0.2">
      <c r="E570" s="1">
        <f>SUMIF(الجدول336112[الموديل],D570,الجدول336112[العدد])</f>
        <v>0</v>
      </c>
    </row>
    <row r="571" spans="5:5" x14ac:dyDescent="0.2">
      <c r="E571" s="1">
        <f>SUMIF(الجدول336112[الموديل],D571,الجدول336112[العدد])</f>
        <v>0</v>
      </c>
    </row>
    <row r="572" spans="5:5" x14ac:dyDescent="0.2">
      <c r="E572" s="1">
        <f>SUMIF(الجدول336112[الموديل],D572,الجدول336112[العدد])</f>
        <v>0</v>
      </c>
    </row>
    <row r="573" spans="5:5" x14ac:dyDescent="0.2">
      <c r="E573" s="1">
        <f>SUMIF(الجدول336112[الموديل],D573,الجدول336112[العدد])</f>
        <v>0</v>
      </c>
    </row>
    <row r="574" spans="5:5" x14ac:dyDescent="0.2">
      <c r="E574" s="1">
        <f>SUMIF(الجدول336112[الموديل],D574,الجدول336112[العدد])</f>
        <v>0</v>
      </c>
    </row>
    <row r="575" spans="5:5" x14ac:dyDescent="0.2">
      <c r="E575" s="1">
        <f>SUMIF(الجدول336112[الموديل],D575,الجدول336112[العدد])</f>
        <v>0</v>
      </c>
    </row>
    <row r="576" spans="5:5" x14ac:dyDescent="0.2">
      <c r="E576" s="1">
        <f>SUMIF(الجدول336112[الموديل],D576,الجدول336112[العدد])</f>
        <v>0</v>
      </c>
    </row>
    <row r="577" spans="5:5" x14ac:dyDescent="0.2">
      <c r="E577" s="1">
        <f>SUMIF(الجدول336112[الموديل],D577,الجدول336112[العدد])</f>
        <v>0</v>
      </c>
    </row>
    <row r="578" spans="5:5" x14ac:dyDescent="0.2">
      <c r="E578" s="1">
        <f>SUMIF(الجدول336112[الموديل],D578,الجدول336112[العدد])</f>
        <v>0</v>
      </c>
    </row>
    <row r="579" spans="5:5" x14ac:dyDescent="0.2">
      <c r="E579" s="1">
        <f>SUMIF(الجدول336112[الموديل],D579,الجدول336112[العدد])</f>
        <v>0</v>
      </c>
    </row>
    <row r="580" spans="5:5" x14ac:dyDescent="0.2">
      <c r="E580" s="1">
        <f>SUMIF(الجدول336112[الموديل],D580,الجدول336112[العدد])</f>
        <v>0</v>
      </c>
    </row>
    <row r="581" spans="5:5" x14ac:dyDescent="0.2">
      <c r="E581" s="1">
        <f>SUMIF(الجدول336112[الموديل],D581,الجدول336112[العدد])</f>
        <v>0</v>
      </c>
    </row>
    <row r="582" spans="5:5" x14ac:dyDescent="0.2">
      <c r="E582" s="1">
        <f>SUMIF(الجدول336112[الموديل],D582,الجدول336112[العدد])</f>
        <v>0</v>
      </c>
    </row>
    <row r="583" spans="5:5" x14ac:dyDescent="0.2">
      <c r="E583" s="1">
        <f>SUMIF(الجدول336112[الموديل],D583,الجدول336112[العدد])</f>
        <v>0</v>
      </c>
    </row>
    <row r="584" spans="5:5" x14ac:dyDescent="0.2">
      <c r="E584" s="1">
        <f>SUMIF(الجدول336112[الموديل],D584,الجدول336112[العدد])</f>
        <v>0</v>
      </c>
    </row>
    <row r="585" spans="5:5" x14ac:dyDescent="0.2">
      <c r="E585" s="1">
        <f>SUMIF(الجدول336112[الموديل],D585,الجدول336112[العدد])</f>
        <v>0</v>
      </c>
    </row>
    <row r="586" spans="5:5" x14ac:dyDescent="0.2">
      <c r="E586" s="1">
        <f>SUMIF(الجدول336112[الموديل],D586,الجدول336112[العدد])</f>
        <v>0</v>
      </c>
    </row>
    <row r="587" spans="5:5" x14ac:dyDescent="0.2">
      <c r="E587" s="1">
        <f>SUMIF(الجدول336112[الموديل],D587,الجدول336112[العدد])</f>
        <v>0</v>
      </c>
    </row>
    <row r="588" spans="5:5" x14ac:dyDescent="0.2">
      <c r="E588" s="1">
        <f>SUMIF(الجدول336112[الموديل],D588,الجدول336112[العدد])</f>
        <v>0</v>
      </c>
    </row>
    <row r="589" spans="5:5" x14ac:dyDescent="0.2">
      <c r="E589" s="1">
        <f>SUMIF(الجدول336112[الموديل],D589,الجدول336112[العدد])</f>
        <v>0</v>
      </c>
    </row>
    <row r="590" spans="5:5" x14ac:dyDescent="0.2">
      <c r="E590" s="1">
        <f>SUMIF(الجدول336112[الموديل],D590,الجدول336112[العدد])</f>
        <v>0</v>
      </c>
    </row>
    <row r="591" spans="5:5" x14ac:dyDescent="0.2">
      <c r="E591" s="1">
        <f>SUMIF(الجدول336112[الموديل],D591,الجدول336112[العدد])</f>
        <v>0</v>
      </c>
    </row>
    <row r="592" spans="5:5" x14ac:dyDescent="0.2">
      <c r="E592" s="1">
        <f>SUMIF(الجدول336112[الموديل],D592,الجدول336112[العدد])</f>
        <v>0</v>
      </c>
    </row>
    <row r="593" spans="5:5" x14ac:dyDescent="0.2">
      <c r="E593" s="1">
        <f>SUMIF(الجدول336112[الموديل],D593,الجدول336112[العدد])</f>
        <v>0</v>
      </c>
    </row>
    <row r="594" spans="5:5" x14ac:dyDescent="0.2">
      <c r="E594" s="1">
        <f>SUMIF(الجدول336112[الموديل],D594,الجدول336112[العدد])</f>
        <v>0</v>
      </c>
    </row>
    <row r="595" spans="5:5" x14ac:dyDescent="0.2">
      <c r="E595" s="1">
        <f>SUMIF(الجدول336112[الموديل],D595,الجدول336112[العدد])</f>
        <v>0</v>
      </c>
    </row>
    <row r="596" spans="5:5" x14ac:dyDescent="0.2">
      <c r="E596" s="1">
        <f>SUMIF(الجدول336112[الموديل],D596,الجدول336112[العدد])</f>
        <v>0</v>
      </c>
    </row>
    <row r="597" spans="5:5" x14ac:dyDescent="0.2">
      <c r="E597" s="1">
        <f>SUMIF(الجدول336112[الموديل],D597,الجدول336112[العدد])</f>
        <v>0</v>
      </c>
    </row>
    <row r="598" spans="5:5" x14ac:dyDescent="0.2">
      <c r="E598" s="1">
        <f>SUMIF(الجدول336112[الموديل],D598,الجدول336112[العدد])</f>
        <v>0</v>
      </c>
    </row>
    <row r="599" spans="5:5" x14ac:dyDescent="0.2">
      <c r="E599" s="1">
        <f>SUMIF(الجدول336112[الموديل],D599,الجدول336112[العدد])</f>
        <v>0</v>
      </c>
    </row>
    <row r="600" spans="5:5" x14ac:dyDescent="0.2">
      <c r="E600" s="1">
        <f>SUMIF(الجدول336112[الموديل],D600,الجدول336112[العدد])</f>
        <v>0</v>
      </c>
    </row>
    <row r="601" spans="5:5" x14ac:dyDescent="0.2">
      <c r="E601" s="1">
        <f>SUMIF(الجدول336112[الموديل],D601,الجدول336112[العدد])</f>
        <v>0</v>
      </c>
    </row>
    <row r="602" spans="5:5" x14ac:dyDescent="0.2">
      <c r="E602" s="1">
        <f>SUMIF(الجدول336112[الموديل],D602,الجدول336112[العدد])</f>
        <v>0</v>
      </c>
    </row>
    <row r="603" spans="5:5" x14ac:dyDescent="0.2">
      <c r="E603" s="1">
        <f>SUMIF(الجدول336112[الموديل],D603,الجدول336112[العدد])</f>
        <v>0</v>
      </c>
    </row>
    <row r="604" spans="5:5" x14ac:dyDescent="0.2">
      <c r="E604" s="1">
        <f>SUMIF(الجدول336112[الموديل],D604,الجدول336112[العدد])</f>
        <v>0</v>
      </c>
    </row>
    <row r="605" spans="5:5" x14ac:dyDescent="0.2">
      <c r="E605" s="1">
        <f>SUMIF(الجدول336112[الموديل],D605,الجدول336112[العدد])</f>
        <v>0</v>
      </c>
    </row>
    <row r="606" spans="5:5" x14ac:dyDescent="0.2">
      <c r="E606" s="1">
        <f>SUMIF(الجدول336112[الموديل],D606,الجدول336112[العدد])</f>
        <v>0</v>
      </c>
    </row>
    <row r="607" spans="5:5" x14ac:dyDescent="0.2">
      <c r="E607" s="1">
        <f>SUMIF(الجدول336112[الموديل],D607,الجدول336112[العدد])</f>
        <v>0</v>
      </c>
    </row>
    <row r="608" spans="5:5" x14ac:dyDescent="0.2">
      <c r="E608" s="1">
        <f>SUMIF(الجدول336112[الموديل],D608,الجدول336112[العدد])</f>
        <v>0</v>
      </c>
    </row>
    <row r="609" spans="5:5" x14ac:dyDescent="0.2">
      <c r="E609" s="1">
        <f>SUMIF(الجدول336112[الموديل],D609,الجدول336112[العدد])</f>
        <v>0</v>
      </c>
    </row>
    <row r="610" spans="5:5" x14ac:dyDescent="0.2">
      <c r="E610" s="1">
        <f>SUMIF(الجدول336112[الموديل],D610,الجدول336112[العدد])</f>
        <v>0</v>
      </c>
    </row>
    <row r="611" spans="5:5" x14ac:dyDescent="0.2">
      <c r="E611" s="1">
        <f>SUMIF(الجدول336112[الموديل],D611,الجدول336112[العدد])</f>
        <v>0</v>
      </c>
    </row>
    <row r="612" spans="5:5" x14ac:dyDescent="0.2">
      <c r="E612" s="1">
        <f>SUMIF(الجدول336112[الموديل],D612,الجدول336112[العدد])</f>
        <v>0</v>
      </c>
    </row>
    <row r="613" spans="5:5" x14ac:dyDescent="0.2">
      <c r="E613" s="1">
        <f>SUMIF(الجدول336112[الموديل],D613,الجدول336112[العدد])</f>
        <v>0</v>
      </c>
    </row>
    <row r="614" spans="5:5" x14ac:dyDescent="0.2">
      <c r="E614" s="1">
        <f>SUMIF(الجدول336112[الموديل],D614,الجدول336112[العدد])</f>
        <v>0</v>
      </c>
    </row>
    <row r="615" spans="5:5" x14ac:dyDescent="0.2">
      <c r="E615" s="1">
        <f>SUMIF(الجدول336112[الموديل],D615,الجدول336112[العدد])</f>
        <v>0</v>
      </c>
    </row>
    <row r="616" spans="5:5" x14ac:dyDescent="0.2">
      <c r="E616" s="1">
        <f>SUMIF(الجدول336112[الموديل],D616,الجدول336112[العدد])</f>
        <v>0</v>
      </c>
    </row>
    <row r="617" spans="5:5" x14ac:dyDescent="0.2">
      <c r="E617" s="1">
        <f>SUMIF(الجدول336112[الموديل],D617,الجدول336112[العدد])</f>
        <v>0</v>
      </c>
    </row>
    <row r="618" spans="5:5" x14ac:dyDescent="0.2">
      <c r="E618" s="1">
        <f>SUMIF(الجدول336112[الموديل],D618,الجدول336112[العدد])</f>
        <v>0</v>
      </c>
    </row>
    <row r="619" spans="5:5" x14ac:dyDescent="0.2">
      <c r="E619" s="1">
        <f>SUMIF(الجدول336112[الموديل],D619,الجدول336112[العدد])</f>
        <v>0</v>
      </c>
    </row>
    <row r="620" spans="5:5" x14ac:dyDescent="0.2">
      <c r="E620" s="1">
        <f>SUMIF(الجدول336112[الموديل],D620,الجدول336112[العدد])</f>
        <v>0</v>
      </c>
    </row>
    <row r="621" spans="5:5" x14ac:dyDescent="0.2">
      <c r="E621" s="1">
        <f>SUMIF(الجدول336112[الموديل],D621,الجدول336112[العدد])</f>
        <v>0</v>
      </c>
    </row>
    <row r="622" spans="5:5" x14ac:dyDescent="0.2">
      <c r="E622" s="1">
        <f>SUMIF(الجدول336112[الموديل],D622,الجدول336112[العدد])</f>
        <v>0</v>
      </c>
    </row>
    <row r="623" spans="5:5" x14ac:dyDescent="0.2">
      <c r="E623" s="1">
        <f>SUMIF(الجدول336112[الموديل],D623,الجدول336112[العدد])</f>
        <v>0</v>
      </c>
    </row>
    <row r="624" spans="5:5" x14ac:dyDescent="0.2">
      <c r="E624" s="1">
        <f>SUMIF(الجدول336112[الموديل],D624,الجدول336112[العدد])</f>
        <v>0</v>
      </c>
    </row>
    <row r="625" spans="5:5" x14ac:dyDescent="0.2">
      <c r="E625" s="1">
        <f>SUMIF(الجدول336112[الموديل],D625,الجدول336112[العدد])</f>
        <v>0</v>
      </c>
    </row>
    <row r="626" spans="5:5" x14ac:dyDescent="0.2">
      <c r="E626" s="1">
        <f>SUMIF(الجدول336112[الموديل],D626,الجدول336112[العدد])</f>
        <v>0</v>
      </c>
    </row>
    <row r="627" spans="5:5" x14ac:dyDescent="0.2">
      <c r="E627" s="1">
        <f>SUMIF(الجدول336112[الموديل],D627,الجدول336112[العدد])</f>
        <v>0</v>
      </c>
    </row>
    <row r="628" spans="5:5" x14ac:dyDescent="0.2">
      <c r="E628" s="1">
        <f>SUMIF(الجدول336112[الموديل],D628,الجدول336112[العدد])</f>
        <v>0</v>
      </c>
    </row>
    <row r="629" spans="5:5" x14ac:dyDescent="0.2">
      <c r="E629" s="1">
        <f>SUMIF(الجدول336112[الموديل],D629,الجدول336112[العدد])</f>
        <v>0</v>
      </c>
    </row>
    <row r="630" spans="5:5" x14ac:dyDescent="0.2">
      <c r="E630" s="1">
        <f>SUMIF(الجدول336112[الموديل],D630,الجدول336112[العدد])</f>
        <v>0</v>
      </c>
    </row>
    <row r="631" spans="5:5" x14ac:dyDescent="0.2">
      <c r="E631" s="1">
        <f>SUMIF(الجدول336112[الموديل],D631,الجدول336112[العدد])</f>
        <v>0</v>
      </c>
    </row>
    <row r="632" spans="5:5" x14ac:dyDescent="0.2">
      <c r="E632" s="1">
        <f>SUMIF(الجدول336112[الموديل],D632,الجدول336112[العدد])</f>
        <v>0</v>
      </c>
    </row>
    <row r="633" spans="5:5" x14ac:dyDescent="0.2">
      <c r="E633" s="1">
        <f>SUMIF(الجدول336112[الموديل],D633,الجدول336112[العدد])</f>
        <v>0</v>
      </c>
    </row>
    <row r="634" spans="5:5" x14ac:dyDescent="0.2">
      <c r="E634" s="1">
        <f>SUMIF(الجدول336112[الموديل],D634,الجدول336112[العدد])</f>
        <v>0</v>
      </c>
    </row>
    <row r="635" spans="5:5" x14ac:dyDescent="0.2">
      <c r="E635" s="1">
        <f>SUMIF(الجدول336112[الموديل],D635,الجدول336112[العدد])</f>
        <v>0</v>
      </c>
    </row>
    <row r="636" spans="5:5" x14ac:dyDescent="0.2">
      <c r="E636" s="1">
        <f>SUMIF(الجدول336112[الموديل],D636,الجدول336112[العدد])</f>
        <v>0</v>
      </c>
    </row>
    <row r="637" spans="5:5" x14ac:dyDescent="0.2">
      <c r="E637" s="1">
        <f>SUMIF(الجدول336112[الموديل],D637,الجدول336112[العدد])</f>
        <v>0</v>
      </c>
    </row>
    <row r="638" spans="5:5" x14ac:dyDescent="0.2">
      <c r="E638" s="1">
        <f>SUMIF(الجدول336112[الموديل],D638,الجدول336112[العدد])</f>
        <v>0</v>
      </c>
    </row>
    <row r="639" spans="5:5" x14ac:dyDescent="0.2">
      <c r="E639" s="1">
        <f>SUMIF(الجدول336112[الموديل],D639,الجدول336112[العدد])</f>
        <v>0</v>
      </c>
    </row>
    <row r="640" spans="5:5" x14ac:dyDescent="0.2">
      <c r="E640" s="1">
        <f>SUMIF(الجدول336112[الموديل],D640,الجدول336112[العدد])</f>
        <v>0</v>
      </c>
    </row>
    <row r="641" spans="5:5" x14ac:dyDescent="0.2">
      <c r="E641" s="1">
        <f>SUMIF(الجدول336112[الموديل],D641,الجدول336112[العدد])</f>
        <v>0</v>
      </c>
    </row>
    <row r="642" spans="5:5" x14ac:dyDescent="0.2">
      <c r="E642" s="1">
        <f>SUMIF(الجدول336112[الموديل],D642,الجدول336112[العدد])</f>
        <v>0</v>
      </c>
    </row>
    <row r="643" spans="5:5" x14ac:dyDescent="0.2">
      <c r="E643" s="1">
        <f>SUMIF(الجدول336112[الموديل],D643,الجدول336112[العدد])</f>
        <v>0</v>
      </c>
    </row>
    <row r="644" spans="5:5" x14ac:dyDescent="0.2">
      <c r="E644" s="1">
        <f>SUMIF(الجدول336112[الموديل],D644,الجدول336112[العدد])</f>
        <v>0</v>
      </c>
    </row>
    <row r="645" spans="5:5" x14ac:dyDescent="0.2">
      <c r="E645" s="1">
        <f>SUMIF(الجدول336112[الموديل],D645,الجدول336112[العدد])</f>
        <v>0</v>
      </c>
    </row>
    <row r="646" spans="5:5" x14ac:dyDescent="0.2">
      <c r="E646" s="1">
        <f>SUMIF(الجدول336112[الموديل],D646,الجدول336112[العدد])</f>
        <v>0</v>
      </c>
    </row>
    <row r="647" spans="5:5" x14ac:dyDescent="0.2">
      <c r="E647" s="1">
        <f>SUMIF(الجدول336112[الموديل],D647,الجدول336112[العدد])</f>
        <v>0</v>
      </c>
    </row>
    <row r="648" spans="5:5" x14ac:dyDescent="0.2">
      <c r="E648" s="1">
        <f>SUMIF(الجدول336112[الموديل],D648,الجدول336112[العدد])</f>
        <v>0</v>
      </c>
    </row>
    <row r="649" spans="5:5" x14ac:dyDescent="0.2">
      <c r="E649" s="1">
        <f>SUMIF(الجدول336112[الموديل],D649,الجدول336112[العدد])</f>
        <v>0</v>
      </c>
    </row>
    <row r="650" spans="5:5" x14ac:dyDescent="0.2">
      <c r="E650" s="1">
        <f>SUMIF(الجدول336112[الموديل],D650,الجدول336112[العدد])</f>
        <v>0</v>
      </c>
    </row>
    <row r="651" spans="5:5" x14ac:dyDescent="0.2">
      <c r="E651" s="1">
        <f>SUMIF(الجدول336112[الموديل],D651,الجدول336112[العدد])</f>
        <v>0</v>
      </c>
    </row>
    <row r="652" spans="5:5" x14ac:dyDescent="0.2">
      <c r="E652" s="1">
        <f>SUMIF(الجدول336112[الموديل],D652,الجدول336112[العدد])</f>
        <v>0</v>
      </c>
    </row>
    <row r="653" spans="5:5" x14ac:dyDescent="0.2">
      <c r="E653" s="1">
        <f>SUMIF(الجدول336112[الموديل],D653,الجدول336112[العدد])</f>
        <v>0</v>
      </c>
    </row>
    <row r="654" spans="5:5" x14ac:dyDescent="0.2">
      <c r="E654" s="1">
        <f>SUMIF(الجدول336112[الموديل],D654,الجدول336112[العدد])</f>
        <v>0</v>
      </c>
    </row>
    <row r="655" spans="5:5" x14ac:dyDescent="0.2">
      <c r="E655" s="1">
        <f>SUMIF(الجدول336112[الموديل],D655,الجدول336112[العدد])</f>
        <v>0</v>
      </c>
    </row>
    <row r="656" spans="5:5" x14ac:dyDescent="0.2">
      <c r="E656" s="1">
        <f>SUMIF(الجدول336112[الموديل],D656,الجدول336112[العدد])</f>
        <v>0</v>
      </c>
    </row>
    <row r="657" spans="5:5" x14ac:dyDescent="0.2">
      <c r="E657" s="1">
        <f>SUMIF(الجدول336112[الموديل],D657,الجدول336112[العدد])</f>
        <v>0</v>
      </c>
    </row>
    <row r="658" spans="5:5" x14ac:dyDescent="0.2">
      <c r="E658" s="1">
        <f>SUMIF(الجدول336112[الموديل],D658,الجدول336112[العدد])</f>
        <v>0</v>
      </c>
    </row>
    <row r="659" spans="5:5" x14ac:dyDescent="0.2">
      <c r="E659" s="1">
        <f>SUMIF(الجدول336112[الموديل],D659,الجدول336112[العدد])</f>
        <v>0</v>
      </c>
    </row>
    <row r="660" spans="5:5" x14ac:dyDescent="0.2">
      <c r="E660" s="1">
        <f>SUMIF(الجدول336112[الموديل],D660,الجدول336112[العدد])</f>
        <v>0</v>
      </c>
    </row>
    <row r="661" spans="5:5" x14ac:dyDescent="0.2">
      <c r="E661" s="1">
        <f>SUMIF(الجدول336112[الموديل],D661,الجدول336112[العدد])</f>
        <v>0</v>
      </c>
    </row>
    <row r="662" spans="5:5" x14ac:dyDescent="0.2">
      <c r="E662" s="1">
        <f>SUMIF(الجدول336112[الموديل],D662,الجدول336112[العدد])</f>
        <v>0</v>
      </c>
    </row>
    <row r="663" spans="5:5" x14ac:dyDescent="0.2">
      <c r="E663" s="1">
        <f>SUMIF(الجدول336112[الموديل],D663,الجدول336112[العدد])</f>
        <v>0</v>
      </c>
    </row>
    <row r="664" spans="5:5" x14ac:dyDescent="0.2">
      <c r="E664" s="1">
        <f>SUMIF(الجدول336112[الموديل],D664,الجدول336112[العدد])</f>
        <v>0</v>
      </c>
    </row>
    <row r="665" spans="5:5" x14ac:dyDescent="0.2">
      <c r="E665" s="1">
        <f>SUMIF(الجدول336112[الموديل],D665,الجدول336112[العدد])</f>
        <v>0</v>
      </c>
    </row>
    <row r="666" spans="5:5" x14ac:dyDescent="0.2">
      <c r="E666" s="1">
        <f>SUMIF(الجدول336112[الموديل],D666,الجدول336112[العدد])</f>
        <v>0</v>
      </c>
    </row>
    <row r="667" spans="5:5" x14ac:dyDescent="0.2">
      <c r="E667" s="1">
        <f>SUMIF(الجدول336112[الموديل],D667,الجدول336112[العدد])</f>
        <v>0</v>
      </c>
    </row>
    <row r="668" spans="5:5" x14ac:dyDescent="0.2">
      <c r="E668" s="1">
        <f>SUMIF(الجدول336112[الموديل],D668,الجدول336112[العدد])</f>
        <v>0</v>
      </c>
    </row>
    <row r="669" spans="5:5" x14ac:dyDescent="0.2">
      <c r="E669" s="1">
        <f>SUMIF(الجدول336112[الموديل],D669,الجدول336112[العدد])</f>
        <v>0</v>
      </c>
    </row>
    <row r="670" spans="5:5" x14ac:dyDescent="0.2">
      <c r="E670" s="1">
        <f>SUMIF(الجدول336112[الموديل],D670,الجدول336112[العدد])</f>
        <v>0</v>
      </c>
    </row>
    <row r="671" spans="5:5" x14ac:dyDescent="0.2">
      <c r="E671" s="1">
        <f>SUMIF(الجدول336112[الموديل],D671,الجدول336112[العدد])</f>
        <v>0</v>
      </c>
    </row>
    <row r="672" spans="5:5" x14ac:dyDescent="0.2">
      <c r="E672" s="1">
        <f>SUMIF(الجدول336112[الموديل],D672,الجدول336112[العدد])</f>
        <v>0</v>
      </c>
    </row>
    <row r="673" spans="5:5" x14ac:dyDescent="0.2">
      <c r="E673" s="1">
        <f>SUMIF(الجدول336112[الموديل],D673,الجدول336112[العدد])</f>
        <v>0</v>
      </c>
    </row>
    <row r="674" spans="5:5" x14ac:dyDescent="0.2">
      <c r="E674" s="1">
        <f>SUMIF(الجدول336112[الموديل],D674,الجدول336112[العدد])</f>
        <v>0</v>
      </c>
    </row>
    <row r="675" spans="5:5" x14ac:dyDescent="0.2">
      <c r="E675" s="1">
        <f>SUMIF(الجدول336112[الموديل],D675,الجدول336112[العدد])</f>
        <v>0</v>
      </c>
    </row>
    <row r="676" spans="5:5" x14ac:dyDescent="0.2">
      <c r="E676" s="1">
        <f>SUMIF(الجدول336112[الموديل],D676,الجدول336112[العدد])</f>
        <v>0</v>
      </c>
    </row>
    <row r="677" spans="5:5" x14ac:dyDescent="0.2">
      <c r="E677" s="1">
        <f>SUMIF(الجدول336112[الموديل],D677,الجدول336112[العدد])</f>
        <v>0</v>
      </c>
    </row>
    <row r="678" spans="5:5" x14ac:dyDescent="0.2">
      <c r="E678" s="1">
        <f>SUMIF(الجدول336112[الموديل],D678,الجدول336112[العدد])</f>
        <v>0</v>
      </c>
    </row>
    <row r="679" spans="5:5" x14ac:dyDescent="0.2">
      <c r="E679" s="1">
        <f>SUMIF(الجدول336112[الموديل],D679,الجدول336112[العدد])</f>
        <v>0</v>
      </c>
    </row>
    <row r="680" spans="5:5" x14ac:dyDescent="0.2">
      <c r="E680" s="1">
        <f>SUMIF(الجدول336112[الموديل],D680,الجدول336112[العدد])</f>
        <v>0</v>
      </c>
    </row>
    <row r="681" spans="5:5" x14ac:dyDescent="0.2">
      <c r="E681" s="1">
        <f>SUMIF(الجدول336112[الموديل],D681,الجدول336112[العدد])</f>
        <v>0</v>
      </c>
    </row>
    <row r="682" spans="5:5" x14ac:dyDescent="0.2">
      <c r="E682" s="1">
        <f>SUMIF(الجدول336112[الموديل],D682,الجدول336112[العدد])</f>
        <v>0</v>
      </c>
    </row>
    <row r="683" spans="5:5" x14ac:dyDescent="0.2">
      <c r="E683" s="1">
        <f>SUMIF(الجدول336112[الموديل],D683,الجدول336112[العدد])</f>
        <v>0</v>
      </c>
    </row>
    <row r="684" spans="5:5" x14ac:dyDescent="0.2">
      <c r="E684" s="1">
        <f>SUMIF(الجدول336112[الموديل],D684,الجدول336112[العدد])</f>
        <v>0</v>
      </c>
    </row>
    <row r="685" spans="5:5" x14ac:dyDescent="0.2">
      <c r="E685" s="1">
        <f>SUMIF(الجدول336112[الموديل],D685,الجدول336112[العدد])</f>
        <v>0</v>
      </c>
    </row>
    <row r="686" spans="5:5" x14ac:dyDescent="0.2">
      <c r="E686" s="1">
        <f>SUMIF(الجدول336112[الموديل],D686,الجدول336112[العدد])</f>
        <v>0</v>
      </c>
    </row>
    <row r="687" spans="5:5" x14ac:dyDescent="0.2">
      <c r="E687" s="1">
        <f>SUMIF(الجدول336112[الموديل],D687,الجدول336112[العدد])</f>
        <v>0</v>
      </c>
    </row>
    <row r="688" spans="5:5" x14ac:dyDescent="0.2">
      <c r="E688" s="1">
        <f>SUMIF(الجدول336112[الموديل],D688,الجدول336112[العدد])</f>
        <v>0</v>
      </c>
    </row>
    <row r="689" spans="5:5" x14ac:dyDescent="0.2">
      <c r="E689" s="1">
        <f>SUMIF(الجدول336112[الموديل],D689,الجدول336112[العدد])</f>
        <v>0</v>
      </c>
    </row>
    <row r="690" spans="5:5" x14ac:dyDescent="0.2">
      <c r="E690" s="1">
        <f>SUMIF(الجدول336112[الموديل],D690,الجدول336112[العدد])</f>
        <v>0</v>
      </c>
    </row>
    <row r="691" spans="5:5" x14ac:dyDescent="0.2">
      <c r="E691" s="1">
        <f>SUMIF(الجدول336112[الموديل],D691,الجدول336112[العدد])</f>
        <v>0</v>
      </c>
    </row>
    <row r="692" spans="5:5" x14ac:dyDescent="0.2">
      <c r="E692" s="1">
        <f>SUMIF(الجدول336112[الموديل],D692,الجدول336112[العدد])</f>
        <v>0</v>
      </c>
    </row>
    <row r="693" spans="5:5" x14ac:dyDescent="0.2">
      <c r="E693" s="1">
        <f>SUMIF(الجدول336112[الموديل],D693,الجدول336112[العدد])</f>
        <v>0</v>
      </c>
    </row>
    <row r="694" spans="5:5" x14ac:dyDescent="0.2">
      <c r="E694" s="1">
        <f>SUMIF(الجدول336112[الموديل],D694,الجدول336112[العدد])</f>
        <v>0</v>
      </c>
    </row>
    <row r="695" spans="5:5" x14ac:dyDescent="0.2">
      <c r="E695" s="1">
        <f>SUMIF(الجدول336112[الموديل],D695,الجدول336112[العدد])</f>
        <v>0</v>
      </c>
    </row>
    <row r="696" spans="5:5" x14ac:dyDescent="0.2">
      <c r="E696" s="1">
        <f>SUMIF(الجدول336112[الموديل],D696,الجدول336112[العدد])</f>
        <v>0</v>
      </c>
    </row>
    <row r="697" spans="5:5" x14ac:dyDescent="0.2">
      <c r="E697" s="1">
        <f>SUMIF(الجدول336112[الموديل],D697,الجدول336112[العدد])</f>
        <v>0</v>
      </c>
    </row>
    <row r="698" spans="5:5" x14ac:dyDescent="0.2">
      <c r="E698" s="1">
        <f>SUMIF(الجدول336112[الموديل],D698,الجدول336112[العدد])</f>
        <v>0</v>
      </c>
    </row>
    <row r="699" spans="5:5" x14ac:dyDescent="0.2">
      <c r="E699" s="1">
        <f>SUMIF(الجدول336112[الموديل],D699,الجدول336112[العدد])</f>
        <v>0</v>
      </c>
    </row>
    <row r="700" spans="5:5" x14ac:dyDescent="0.2">
      <c r="E700" s="1">
        <f>SUMIF(الجدول336112[الموديل],D700,الجدول336112[العدد])</f>
        <v>0</v>
      </c>
    </row>
    <row r="701" spans="5:5" x14ac:dyDescent="0.2">
      <c r="E701" s="1">
        <f>SUMIF(الجدول336112[الموديل],D701,الجدول336112[العدد])</f>
        <v>0</v>
      </c>
    </row>
    <row r="702" spans="5:5" x14ac:dyDescent="0.2">
      <c r="E702" s="1">
        <f>SUMIF(الجدول336112[الموديل],D702,الجدول336112[العدد])</f>
        <v>0</v>
      </c>
    </row>
    <row r="703" spans="5:5" x14ac:dyDescent="0.2">
      <c r="E703" s="1">
        <f>SUMIF(الجدول336112[الموديل],D703,الجدول336112[العدد])</f>
        <v>0</v>
      </c>
    </row>
    <row r="704" spans="5:5" x14ac:dyDescent="0.2">
      <c r="E704" s="1">
        <f>SUMIF(الجدول336112[الموديل],D704,الجدول336112[العدد])</f>
        <v>0</v>
      </c>
    </row>
    <row r="705" spans="5:5" x14ac:dyDescent="0.2">
      <c r="E705" s="1">
        <f>SUMIF(الجدول336112[الموديل],D705,الجدول336112[العدد])</f>
        <v>0</v>
      </c>
    </row>
    <row r="706" spans="5:5" x14ac:dyDescent="0.2">
      <c r="E706" s="1">
        <f>SUMIF(الجدول336112[الموديل],D706,الجدول336112[العدد])</f>
        <v>0</v>
      </c>
    </row>
    <row r="707" spans="5:5" x14ac:dyDescent="0.2">
      <c r="E707" s="1">
        <f>SUMIF(الجدول336112[الموديل],D707,الجدول336112[العدد])</f>
        <v>0</v>
      </c>
    </row>
    <row r="708" spans="5:5" x14ac:dyDescent="0.2">
      <c r="E708" s="1">
        <f>SUMIF(الجدول336112[الموديل],D708,الجدول336112[العدد])</f>
        <v>0</v>
      </c>
    </row>
    <row r="709" spans="5:5" x14ac:dyDescent="0.2">
      <c r="E709" s="1">
        <f>SUMIF(الجدول336112[الموديل],D709,الجدول336112[العدد])</f>
        <v>0</v>
      </c>
    </row>
    <row r="710" spans="5:5" x14ac:dyDescent="0.2">
      <c r="E710" s="1">
        <f>SUMIF(الجدول336112[الموديل],D710,الجدول336112[العدد])</f>
        <v>0</v>
      </c>
    </row>
    <row r="711" spans="5:5" x14ac:dyDescent="0.2">
      <c r="E711" s="1">
        <f>SUMIF(الجدول336112[الموديل],D711,الجدول336112[العدد])</f>
        <v>0</v>
      </c>
    </row>
    <row r="712" spans="5:5" x14ac:dyDescent="0.2">
      <c r="E712" s="1">
        <f>SUMIF(الجدول336112[الموديل],D712,الجدول336112[العدد])</f>
        <v>0</v>
      </c>
    </row>
    <row r="713" spans="5:5" x14ac:dyDescent="0.2">
      <c r="E713" s="1">
        <f>SUMIF(الجدول336112[الموديل],D713,الجدول336112[العدد])</f>
        <v>0</v>
      </c>
    </row>
    <row r="714" spans="5:5" x14ac:dyDescent="0.2">
      <c r="E714" s="1">
        <f>SUMIF(الجدول336112[الموديل],D714,الجدول336112[العدد])</f>
        <v>0</v>
      </c>
    </row>
    <row r="715" spans="5:5" x14ac:dyDescent="0.2">
      <c r="E715" s="1">
        <f>SUMIF(الجدول336112[الموديل],D715,الجدول336112[العدد])</f>
        <v>0</v>
      </c>
    </row>
    <row r="716" spans="5:5" x14ac:dyDescent="0.2">
      <c r="E716" s="1">
        <f>SUMIF(الجدول336112[الموديل],D716,الجدول336112[العدد])</f>
        <v>0</v>
      </c>
    </row>
    <row r="717" spans="5:5" x14ac:dyDescent="0.2">
      <c r="E717" s="1">
        <f>SUMIF(الجدول336112[الموديل],D717,الجدول336112[العدد])</f>
        <v>0</v>
      </c>
    </row>
    <row r="718" spans="5:5" x14ac:dyDescent="0.2">
      <c r="E718" s="1">
        <f>SUMIF(الجدول336112[الموديل],D718,الجدول336112[العدد])</f>
        <v>0</v>
      </c>
    </row>
    <row r="719" spans="5:5" x14ac:dyDescent="0.2">
      <c r="E719" s="1">
        <f>SUMIF(الجدول336112[الموديل],D719,الجدول336112[العدد])</f>
        <v>0</v>
      </c>
    </row>
    <row r="720" spans="5:5" x14ac:dyDescent="0.2">
      <c r="E720" s="1">
        <f>SUMIF(الجدول336112[الموديل],D720,الجدول336112[العدد])</f>
        <v>0</v>
      </c>
    </row>
    <row r="721" spans="5:5" x14ac:dyDescent="0.2">
      <c r="E721" s="1">
        <f>SUMIF(الجدول336112[الموديل],D721,الجدول336112[العدد])</f>
        <v>0</v>
      </c>
    </row>
    <row r="722" spans="5:5" x14ac:dyDescent="0.2">
      <c r="E722" s="1">
        <f>SUMIF(الجدول336112[الموديل],D722,الجدول336112[العدد])</f>
        <v>0</v>
      </c>
    </row>
    <row r="723" spans="5:5" x14ac:dyDescent="0.2">
      <c r="E723" s="1">
        <f>SUMIF(الجدول336112[الموديل],D723,الجدول336112[العدد])</f>
        <v>0</v>
      </c>
    </row>
    <row r="724" spans="5:5" x14ac:dyDescent="0.2">
      <c r="E724" s="1">
        <f>SUMIF(الجدول336112[الموديل],D724,الجدول336112[العدد])</f>
        <v>0</v>
      </c>
    </row>
    <row r="725" spans="5:5" x14ac:dyDescent="0.2">
      <c r="E725" s="1">
        <f>SUMIF(الجدول336112[الموديل],D725,الجدول336112[العدد])</f>
        <v>0</v>
      </c>
    </row>
    <row r="726" spans="5:5" x14ac:dyDescent="0.2">
      <c r="E726" s="1">
        <f>SUMIF(الجدول336112[الموديل],D726,الجدول336112[العدد])</f>
        <v>0</v>
      </c>
    </row>
    <row r="727" spans="5:5" x14ac:dyDescent="0.2">
      <c r="E727" s="1">
        <f>SUMIF(الجدول336112[الموديل],D727,الجدول336112[العدد])</f>
        <v>0</v>
      </c>
    </row>
    <row r="728" spans="5:5" x14ac:dyDescent="0.2">
      <c r="E728" s="1">
        <f>SUMIF(الجدول336112[الموديل],D728,الجدول336112[العدد])</f>
        <v>0</v>
      </c>
    </row>
    <row r="729" spans="5:5" x14ac:dyDescent="0.2">
      <c r="E729" s="1">
        <f>SUMIF(الجدول336112[الموديل],D729,الجدول336112[العدد])</f>
        <v>0</v>
      </c>
    </row>
    <row r="730" spans="5:5" x14ac:dyDescent="0.2">
      <c r="E730" s="1">
        <f>SUMIF(الجدول336112[الموديل],D730,الجدول336112[العدد])</f>
        <v>0</v>
      </c>
    </row>
    <row r="731" spans="5:5" x14ac:dyDescent="0.2">
      <c r="E731" s="1">
        <f>SUMIF(الجدول336112[الموديل],D731,الجدول336112[العدد])</f>
        <v>0</v>
      </c>
    </row>
    <row r="732" spans="5:5" x14ac:dyDescent="0.2">
      <c r="E732" s="1">
        <f>SUMIF(الجدول336112[الموديل],D732,الجدول336112[العدد])</f>
        <v>0</v>
      </c>
    </row>
    <row r="733" spans="5:5" x14ac:dyDescent="0.2">
      <c r="E733" s="1">
        <f>SUMIF(الجدول336112[الموديل],D733,الجدول336112[العدد])</f>
        <v>0</v>
      </c>
    </row>
    <row r="734" spans="5:5" x14ac:dyDescent="0.2">
      <c r="E734" s="1">
        <f>SUMIF(الجدول336112[الموديل],D734,الجدول336112[العدد])</f>
        <v>0</v>
      </c>
    </row>
    <row r="735" spans="5:5" x14ac:dyDescent="0.2">
      <c r="E735" s="1">
        <f>SUMIF(الجدول336112[الموديل],D735,الجدول336112[العدد])</f>
        <v>0</v>
      </c>
    </row>
    <row r="736" spans="5:5" x14ac:dyDescent="0.2">
      <c r="E736" s="1">
        <f>SUMIF(الجدول336112[الموديل],D736,الجدول336112[العدد])</f>
        <v>0</v>
      </c>
    </row>
    <row r="737" spans="5:5" x14ac:dyDescent="0.2">
      <c r="E737" s="1">
        <f>SUMIF(الجدول336112[الموديل],D737,الجدول336112[العدد])</f>
        <v>0</v>
      </c>
    </row>
    <row r="738" spans="5:5" x14ac:dyDescent="0.2">
      <c r="E738" s="1">
        <f>SUMIF(الجدول336112[الموديل],D738,الجدول336112[العدد])</f>
        <v>0</v>
      </c>
    </row>
    <row r="739" spans="5:5" x14ac:dyDescent="0.2">
      <c r="E739" s="1">
        <f>SUMIF(الجدول336112[الموديل],D739,الجدول336112[العدد])</f>
        <v>0</v>
      </c>
    </row>
    <row r="740" spans="5:5" x14ac:dyDescent="0.2">
      <c r="E740" s="1">
        <f>SUMIF(الجدول336112[الموديل],D740,الجدول336112[العدد])</f>
        <v>0</v>
      </c>
    </row>
    <row r="741" spans="5:5" x14ac:dyDescent="0.2">
      <c r="E741" s="1">
        <f>SUMIF(الجدول336112[الموديل],D741,الجدول336112[العدد])</f>
        <v>0</v>
      </c>
    </row>
    <row r="742" spans="5:5" x14ac:dyDescent="0.2">
      <c r="E742" s="1">
        <f>SUMIF(الجدول336112[الموديل],D742,الجدول336112[العدد])</f>
        <v>0</v>
      </c>
    </row>
    <row r="743" spans="5:5" x14ac:dyDescent="0.2">
      <c r="E743" s="1">
        <f>SUMIF(الجدول336112[الموديل],D743,الجدول336112[العدد])</f>
        <v>0</v>
      </c>
    </row>
    <row r="744" spans="5:5" x14ac:dyDescent="0.2">
      <c r="E744" s="1">
        <f>SUMIF(الجدول336112[الموديل],D744,الجدول336112[العدد])</f>
        <v>0</v>
      </c>
    </row>
    <row r="745" spans="5:5" x14ac:dyDescent="0.2">
      <c r="E745" s="1">
        <f>SUMIF(الجدول336112[الموديل],D745,الجدول336112[العدد])</f>
        <v>0</v>
      </c>
    </row>
    <row r="746" spans="5:5" x14ac:dyDescent="0.2">
      <c r="E746" s="1">
        <f>SUMIF(الجدول336112[الموديل],D746,الجدول336112[العدد])</f>
        <v>0</v>
      </c>
    </row>
    <row r="747" spans="5:5" x14ac:dyDescent="0.2">
      <c r="E747" s="1">
        <f>SUMIF(الجدول336112[الموديل],D747,الجدول336112[العدد])</f>
        <v>0</v>
      </c>
    </row>
    <row r="748" spans="5:5" x14ac:dyDescent="0.2">
      <c r="E748" s="1">
        <f>SUMIF(الجدول336112[الموديل],D748,الجدول336112[العدد])</f>
        <v>0</v>
      </c>
    </row>
    <row r="749" spans="5:5" x14ac:dyDescent="0.2">
      <c r="E749" s="1">
        <f>SUMIF(الجدول336112[الموديل],D749,الجدول336112[العدد])</f>
        <v>0</v>
      </c>
    </row>
    <row r="750" spans="5:5" x14ac:dyDescent="0.2">
      <c r="E750" s="1">
        <f>SUMIF(الجدول336112[الموديل],D750,الجدول336112[العدد])</f>
        <v>0</v>
      </c>
    </row>
    <row r="751" spans="5:5" x14ac:dyDescent="0.2">
      <c r="E751" s="1">
        <f>SUMIF(الجدول336112[الموديل],D751,الجدول336112[العدد])</f>
        <v>0</v>
      </c>
    </row>
    <row r="752" spans="5:5" x14ac:dyDescent="0.2">
      <c r="E752" s="1">
        <f>SUMIF(الجدول336112[الموديل],D752,الجدول336112[العدد])</f>
        <v>0</v>
      </c>
    </row>
    <row r="753" spans="5:5" x14ac:dyDescent="0.2">
      <c r="E753" s="1">
        <f>SUMIF(الجدول336112[الموديل],D753,الجدول336112[العدد])</f>
        <v>0</v>
      </c>
    </row>
    <row r="754" spans="5:5" x14ac:dyDescent="0.2">
      <c r="E754" s="1">
        <f>SUMIF(الجدول336112[الموديل],D754,الجدول336112[العدد])</f>
        <v>0</v>
      </c>
    </row>
    <row r="755" spans="5:5" x14ac:dyDescent="0.2">
      <c r="E755" s="1">
        <f>SUMIF(الجدول336112[الموديل],D755,الجدول336112[العدد])</f>
        <v>0</v>
      </c>
    </row>
    <row r="756" spans="5:5" x14ac:dyDescent="0.2">
      <c r="E756" s="1">
        <f>SUMIF(الجدول336112[الموديل],D756,الجدول336112[العدد])</f>
        <v>0</v>
      </c>
    </row>
    <row r="757" spans="5:5" x14ac:dyDescent="0.2">
      <c r="E757" s="1">
        <f>SUMIF(الجدول336112[الموديل],D757,الجدول336112[العدد])</f>
        <v>0</v>
      </c>
    </row>
    <row r="758" spans="5:5" x14ac:dyDescent="0.2">
      <c r="E758" s="1">
        <f>SUMIF(الجدول336112[الموديل],D758,الجدول336112[العدد])</f>
        <v>0</v>
      </c>
    </row>
    <row r="759" spans="5:5" x14ac:dyDescent="0.2">
      <c r="E759" s="1">
        <f>SUMIF(الجدول336112[الموديل],D759,الجدول336112[العدد])</f>
        <v>0</v>
      </c>
    </row>
    <row r="760" spans="5:5" x14ac:dyDescent="0.2">
      <c r="E760" s="1">
        <f>SUMIF(الجدول336112[الموديل],D760,الجدول336112[العدد])</f>
        <v>0</v>
      </c>
    </row>
    <row r="761" spans="5:5" x14ac:dyDescent="0.2">
      <c r="E761" s="1">
        <f>SUMIF(الجدول336112[الموديل],D761,الجدول336112[العدد])</f>
        <v>0</v>
      </c>
    </row>
    <row r="762" spans="5:5" x14ac:dyDescent="0.2">
      <c r="E762" s="1">
        <f>SUMIF(الجدول336112[الموديل],D762,الجدول336112[العدد])</f>
        <v>0</v>
      </c>
    </row>
    <row r="763" spans="5:5" x14ac:dyDescent="0.2">
      <c r="E763" s="1">
        <f>SUMIF(الجدول336112[الموديل],D763,الجدول336112[العدد])</f>
        <v>0</v>
      </c>
    </row>
    <row r="764" spans="5:5" x14ac:dyDescent="0.2">
      <c r="E764" s="1">
        <f>SUMIF(الجدول336112[الموديل],D764,الجدول336112[العدد])</f>
        <v>0</v>
      </c>
    </row>
    <row r="765" spans="5:5" x14ac:dyDescent="0.2">
      <c r="E765" s="1">
        <f>SUMIF(الجدول336112[الموديل],D765,الجدول336112[العدد])</f>
        <v>0</v>
      </c>
    </row>
    <row r="766" spans="5:5" x14ac:dyDescent="0.2">
      <c r="E766" s="1">
        <f>SUMIF(الجدول336112[الموديل],D766,الجدول336112[العدد])</f>
        <v>0</v>
      </c>
    </row>
  </sheetData>
  <conditionalFormatting sqref="D1:D1048576">
    <cfRule type="duplicateValues" dxfId="0" priority="1"/>
  </conditionalFormatting>
  <dataValidations count="2">
    <dataValidation type="list" allowBlank="1" showInputMessage="1" showErrorMessage="1" sqref="F623" xr:uid="{00000000-0002-0000-0000-000001000000}">
      <formula1>$D$622:$D$627</formula1>
    </dataValidation>
    <dataValidation type="list" allowBlank="1" showInputMessage="1" showErrorMessage="1" sqref="C623 A627:C627" xr:uid="{00000000-0002-0000-0000-000000000000}">
      <formula1>$D$38:$D$627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E8CD-BED9-4149-A8CD-4DD6B09983DE}">
  <sheetPr>
    <pageSetUpPr fitToPage="1"/>
  </sheetPr>
  <dimension ref="A1:P386"/>
  <sheetViews>
    <sheetView rightToLeft="1" tabSelected="1" topLeftCell="F1" zoomScale="60" zoomScaleNormal="60" workbookViewId="0">
      <selection activeCell="H11" sqref="H11"/>
    </sheetView>
  </sheetViews>
  <sheetFormatPr defaultColWidth="9" defaultRowHeight="14.25" x14ac:dyDescent="0.2"/>
  <cols>
    <col min="1" max="1" width="2.5" style="1" customWidth="1"/>
    <col min="2" max="2" width="6.875" style="1" bestFit="1" customWidth="1"/>
    <col min="3" max="3" width="22.5" style="1" customWidth="1"/>
    <col min="4" max="4" width="143" style="3" customWidth="1"/>
    <col min="5" max="5" width="76.75" style="1" customWidth="1"/>
    <col min="6" max="6" width="126.75" style="1" customWidth="1"/>
    <col min="7" max="7" width="21.875" bestFit="1" customWidth="1"/>
    <col min="8" max="8" width="18.75" style="1" bestFit="1" customWidth="1"/>
    <col min="9" max="12" width="18.75" style="1" customWidth="1"/>
    <col min="13" max="13" width="23.5" style="1" customWidth="1"/>
    <col min="14" max="14" width="18.875" style="1" customWidth="1"/>
    <col min="15" max="15" width="17.125" bestFit="1" customWidth="1"/>
    <col min="16" max="16" width="28" style="1" customWidth="1"/>
    <col min="17" max="17" width="24.5" style="1" customWidth="1"/>
    <col min="18" max="18" width="23.5" style="1" customWidth="1"/>
    <col min="19" max="19" width="9" style="1"/>
    <col min="20" max="20" width="20.125" style="1" customWidth="1"/>
    <col min="21" max="21" width="18.125" style="1" customWidth="1"/>
    <col min="22" max="16384" width="9" style="1"/>
  </cols>
  <sheetData>
    <row r="1" spans="2:16" x14ac:dyDescent="0.2">
      <c r="G1" s="1"/>
      <c r="O1" s="1"/>
    </row>
    <row r="2" spans="2:16" ht="6.75" customHeight="1" x14ac:dyDescent="0.2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2:16" ht="13.9" hidden="1" customHeight="1" x14ac:dyDescent="0.2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2:16" ht="38.25" hidden="1" customHeight="1" x14ac:dyDescent="0.2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2:16" ht="70.5" hidden="1" customHeight="1" x14ac:dyDescent="0.2"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</row>
    <row r="6" spans="2:16" ht="2.25" hidden="1" customHeight="1" x14ac:dyDescent="0.2">
      <c r="B6" s="4" t="s">
        <v>1</v>
      </c>
      <c r="C6" s="5"/>
      <c r="D6" s="7"/>
      <c r="E6" s="5"/>
      <c r="F6" s="5"/>
      <c r="G6" s="5"/>
      <c r="H6" s="6"/>
      <c r="I6" s="6"/>
      <c r="J6" s="6"/>
      <c r="K6" s="6"/>
      <c r="L6" s="6"/>
      <c r="M6" s="6"/>
      <c r="N6" s="6"/>
      <c r="O6" s="8"/>
    </row>
    <row r="7" spans="2:16" s="2" customFormat="1" ht="93.75" customHeight="1" thickBot="1" x14ac:dyDescent="0.25">
      <c r="B7" s="25" t="s">
        <v>2</v>
      </c>
      <c r="C7" s="26" t="s">
        <v>8</v>
      </c>
      <c r="D7" s="27" t="s">
        <v>338</v>
      </c>
      <c r="E7" s="26" t="s">
        <v>7</v>
      </c>
      <c r="F7" s="26" t="s">
        <v>6</v>
      </c>
      <c r="G7" s="26" t="s">
        <v>10</v>
      </c>
      <c r="H7" s="26" t="s">
        <v>3</v>
      </c>
      <c r="I7" s="39" t="s">
        <v>758</v>
      </c>
      <c r="J7" s="39" t="s">
        <v>756</v>
      </c>
      <c r="K7" s="39" t="s">
        <v>757</v>
      </c>
      <c r="L7" s="39" t="s">
        <v>759</v>
      </c>
      <c r="M7" s="28" t="s">
        <v>4</v>
      </c>
      <c r="N7" s="29" t="s">
        <v>11</v>
      </c>
      <c r="O7" s="30" t="s">
        <v>9</v>
      </c>
      <c r="P7" s="31" t="s">
        <v>0</v>
      </c>
    </row>
    <row r="8" spans="2:16" s="20" customFormat="1" ht="45" customHeight="1" x14ac:dyDescent="0.2">
      <c r="B8" s="15" t="str">
        <f>IF(الجدول336112[[#This Row],[اسم المسلّم]]="","",ROW()-8)</f>
        <v/>
      </c>
      <c r="C8" s="36"/>
      <c r="D8" s="37" t="s">
        <v>340</v>
      </c>
      <c r="E8" s="36" t="s">
        <v>339</v>
      </c>
      <c r="F8" s="36" t="s">
        <v>48</v>
      </c>
      <c r="G8" s="38" t="s">
        <v>341</v>
      </c>
      <c r="H8" s="36">
        <v>8</v>
      </c>
      <c r="I8" s="36">
        <v>267.79000000000002</v>
      </c>
      <c r="J8" s="36">
        <f>الجدول336112[[#This Row],[إفرادي القطعة الواحدة]]*0.2397184</f>
        <v>64.194190336000005</v>
      </c>
      <c r="K8" s="36">
        <f>الجدول336112[[#This Row],[إفرادي القطعة الواحدة]]+الجدول336112[[#This Row],[أجور الشحن للقطعة الواحدة]]</f>
        <v>331.98419033600004</v>
      </c>
      <c r="L8" s="36">
        <f>الجدول336112[[#This Row],[العدد]]*الجدول336112[[#This Row],[إجمالي تكلفة القطعة الواحدة]]</f>
        <v>2655.8735226880003</v>
      </c>
      <c r="M8" s="36" t="s">
        <v>5</v>
      </c>
      <c r="N8" s="18">
        <v>7</v>
      </c>
      <c r="O8" s="19"/>
      <c r="P8" s="18"/>
    </row>
    <row r="9" spans="2:16" s="20" customFormat="1" ht="45" customHeight="1" x14ac:dyDescent="0.2">
      <c r="B9" s="15" t="str">
        <f>IF(الجدول336112[[#This Row],[اسم المسلّم]]="","",ROW()-8)</f>
        <v/>
      </c>
      <c r="C9" s="34"/>
      <c r="D9" s="33" t="s">
        <v>340</v>
      </c>
      <c r="E9" s="34" t="s">
        <v>339</v>
      </c>
      <c r="F9" s="34" t="s">
        <v>47</v>
      </c>
      <c r="G9" s="35" t="s">
        <v>341</v>
      </c>
      <c r="H9" s="34">
        <v>8</v>
      </c>
      <c r="I9" s="34">
        <v>199.63</v>
      </c>
      <c r="J9" s="34">
        <f>الجدول336112[[#This Row],[إفرادي القطعة الواحدة]]*0.2397184</f>
        <v>47.854984191999996</v>
      </c>
      <c r="K9" s="34">
        <f>الجدول336112[[#This Row],[إفرادي القطعة الواحدة]]+الجدول336112[[#This Row],[أجور الشحن للقطعة الواحدة]]</f>
        <v>247.48498419199998</v>
      </c>
      <c r="L9" s="34">
        <f>الجدول336112[[#This Row],[العدد]]*الجدول336112[[#This Row],[إجمالي تكلفة القطعة الواحدة]]</f>
        <v>1979.8798735359999</v>
      </c>
      <c r="M9" s="34" t="s">
        <v>5</v>
      </c>
      <c r="N9" s="18">
        <v>7</v>
      </c>
      <c r="O9" s="19"/>
      <c r="P9" s="18"/>
    </row>
    <row r="10" spans="2:16" s="20" customFormat="1" ht="45" customHeight="1" x14ac:dyDescent="0.2">
      <c r="B10" s="15" t="str">
        <f>IF(الجدول336112[[#This Row],[اسم المسلّم]]="","",ROW()-8)</f>
        <v/>
      </c>
      <c r="C10" s="34"/>
      <c r="D10" s="33" t="s">
        <v>340</v>
      </c>
      <c r="E10" s="34" t="s">
        <v>339</v>
      </c>
      <c r="F10" s="34" t="s">
        <v>46</v>
      </c>
      <c r="G10" s="35" t="s">
        <v>341</v>
      </c>
      <c r="H10" s="34">
        <v>7</v>
      </c>
      <c r="I10" s="34">
        <v>155.22999999999999</v>
      </c>
      <c r="J10" s="34">
        <f>الجدول336112[[#This Row],[إفرادي القطعة الواحدة]]*0.2397184</f>
        <v>37.211487231999996</v>
      </c>
      <c r="K10" s="34">
        <f>الجدول336112[[#This Row],[إفرادي القطعة الواحدة]]+الجدول336112[[#This Row],[أجور الشحن للقطعة الواحدة]]</f>
        <v>192.44148723199999</v>
      </c>
      <c r="L10" s="34">
        <f>الجدول336112[[#This Row],[العدد]]*الجدول336112[[#This Row],[إجمالي تكلفة القطعة الواحدة]]</f>
        <v>1347.090410624</v>
      </c>
      <c r="M10" s="34" t="s">
        <v>5</v>
      </c>
      <c r="N10" s="18">
        <v>7</v>
      </c>
      <c r="O10" s="19"/>
      <c r="P10" s="18"/>
    </row>
    <row r="11" spans="2:16" s="20" customFormat="1" ht="45" customHeight="1" x14ac:dyDescent="0.2">
      <c r="B11" s="15" t="str">
        <f>IF(الجدول336112[[#This Row],[اسم المسلّم]]="","",ROW()-8)</f>
        <v/>
      </c>
      <c r="C11" s="34"/>
      <c r="D11" s="33" t="s">
        <v>344</v>
      </c>
      <c r="E11" s="34" t="s">
        <v>342</v>
      </c>
      <c r="F11" s="34" t="s">
        <v>343</v>
      </c>
      <c r="G11" s="35" t="s">
        <v>341</v>
      </c>
      <c r="H11" s="34">
        <v>10</v>
      </c>
      <c r="I11" s="34">
        <v>1.5</v>
      </c>
      <c r="J11" s="34">
        <f>الجدول336112[[#This Row],[إفرادي القطعة الواحدة]]*0.2397184</f>
        <v>0.3595776</v>
      </c>
      <c r="K11" s="34">
        <f>الجدول336112[[#This Row],[إفرادي القطعة الواحدة]]+الجدول336112[[#This Row],[أجور الشحن للقطعة الواحدة]]</f>
        <v>1.8595775999999999</v>
      </c>
      <c r="L11" s="34">
        <f>الجدول336112[[#This Row],[العدد]]*الجدول336112[[#This Row],[إجمالي تكلفة القطعة الواحدة]]</f>
        <v>18.595776000000001</v>
      </c>
      <c r="M11" s="34" t="s">
        <v>5</v>
      </c>
      <c r="N11" s="18">
        <v>8</v>
      </c>
      <c r="O11" s="19"/>
      <c r="P11" s="18"/>
    </row>
    <row r="12" spans="2:16" s="20" customFormat="1" ht="45" customHeight="1" x14ac:dyDescent="0.2">
      <c r="B12" s="15" t="str">
        <f>IF(الجدول336112[[#This Row],[اسم المسلّم]]="","",ROW()-8)</f>
        <v/>
      </c>
      <c r="C12" s="34"/>
      <c r="D12" s="33" t="s">
        <v>320</v>
      </c>
      <c r="E12" s="34" t="s">
        <v>297</v>
      </c>
      <c r="F12" s="34" t="s">
        <v>184</v>
      </c>
      <c r="G12" s="35" t="s">
        <v>341</v>
      </c>
      <c r="H12" s="34">
        <v>30</v>
      </c>
      <c r="I12" s="34">
        <v>15</v>
      </c>
      <c r="J12" s="34">
        <f>الجدول336112[[#This Row],[إفرادي القطعة الواحدة]]*0.2397184</f>
        <v>3.5957759999999999</v>
      </c>
      <c r="K12" s="34">
        <f>الجدول336112[[#This Row],[إفرادي القطعة الواحدة]]+الجدول336112[[#This Row],[أجور الشحن للقطعة الواحدة]]</f>
        <v>18.595776000000001</v>
      </c>
      <c r="L12" s="34">
        <f>الجدول336112[[#This Row],[العدد]]*الجدول336112[[#This Row],[إجمالي تكلفة القطعة الواحدة]]</f>
        <v>557.87328000000002</v>
      </c>
      <c r="M12" s="34" t="s">
        <v>5</v>
      </c>
      <c r="N12" s="18">
        <v>9</v>
      </c>
      <c r="O12" s="19"/>
      <c r="P12" s="18"/>
    </row>
    <row r="13" spans="2:16" s="20" customFormat="1" ht="45" customHeight="1" x14ac:dyDescent="0.2">
      <c r="B13" s="15" t="str">
        <f>IF(الجدول336112[[#This Row],[اسم المسلّم]]="","",ROW()-8)</f>
        <v/>
      </c>
      <c r="C13" s="34"/>
      <c r="D13" s="33" t="s">
        <v>320</v>
      </c>
      <c r="E13" s="34" t="s">
        <v>297</v>
      </c>
      <c r="F13" s="34" t="s">
        <v>190</v>
      </c>
      <c r="G13" s="35" t="s">
        <v>341</v>
      </c>
      <c r="H13" s="34">
        <v>20</v>
      </c>
      <c r="I13" s="34">
        <v>25</v>
      </c>
      <c r="J13" s="34">
        <f>الجدول336112[[#This Row],[إفرادي القطعة الواحدة]]*0.2397184</f>
        <v>5.9929600000000001</v>
      </c>
      <c r="K13" s="34">
        <f>الجدول336112[[#This Row],[إفرادي القطعة الواحدة]]+الجدول336112[[#This Row],[أجور الشحن للقطعة الواحدة]]</f>
        <v>30.99296</v>
      </c>
      <c r="L13" s="34">
        <f>الجدول336112[[#This Row],[العدد]]*الجدول336112[[#This Row],[إجمالي تكلفة القطعة الواحدة]]</f>
        <v>619.85919999999999</v>
      </c>
      <c r="M13" s="34" t="s">
        <v>5</v>
      </c>
      <c r="N13" s="18">
        <v>9</v>
      </c>
      <c r="O13" s="19"/>
      <c r="P13" s="18"/>
    </row>
    <row r="14" spans="2:16" s="20" customFormat="1" ht="45" customHeight="1" x14ac:dyDescent="0.2">
      <c r="B14" s="15" t="str">
        <f>IF(الجدول336112[[#This Row],[اسم المسلّم]]="","",ROW()-8)</f>
        <v/>
      </c>
      <c r="C14" s="34"/>
      <c r="D14" s="33" t="s">
        <v>345</v>
      </c>
      <c r="E14" s="34" t="s">
        <v>304</v>
      </c>
      <c r="F14" s="34" t="s">
        <v>232</v>
      </c>
      <c r="G14" s="35" t="s">
        <v>341</v>
      </c>
      <c r="H14" s="34">
        <v>5000</v>
      </c>
      <c r="I14" s="34">
        <v>0.5</v>
      </c>
      <c r="J14" s="34">
        <f>الجدول336112[[#This Row],[إفرادي القطعة الواحدة]]*0.2397184</f>
        <v>0.1198592</v>
      </c>
      <c r="K14" s="34">
        <f>الجدول336112[[#This Row],[إفرادي القطعة الواحدة]]+الجدول336112[[#This Row],[أجور الشحن للقطعة الواحدة]]</f>
        <v>0.61985920000000005</v>
      </c>
      <c r="L14" s="34">
        <f>الجدول336112[[#This Row],[العدد]]*الجدول336112[[#This Row],[إجمالي تكلفة القطعة الواحدة]]</f>
        <v>3099.2960000000003</v>
      </c>
      <c r="M14" s="34" t="s">
        <v>5</v>
      </c>
      <c r="N14" s="18">
        <v>10</v>
      </c>
      <c r="O14" s="19"/>
      <c r="P14" s="18"/>
    </row>
    <row r="15" spans="2:16" s="20" customFormat="1" ht="45" customHeight="1" x14ac:dyDescent="0.2">
      <c r="B15" s="15" t="str">
        <f>IF(الجدول336112[[#This Row],[اسم المسلّم]]="","",ROW()-8)</f>
        <v/>
      </c>
      <c r="C15" s="34"/>
      <c r="D15" s="33" t="s">
        <v>347</v>
      </c>
      <c r="E15" s="34" t="s">
        <v>304</v>
      </c>
      <c r="F15" s="34" t="s">
        <v>346</v>
      </c>
      <c r="G15" s="35" t="s">
        <v>341</v>
      </c>
      <c r="H15" s="34">
        <v>1980</v>
      </c>
      <c r="I15" s="34">
        <v>1.2</v>
      </c>
      <c r="J15" s="34">
        <f>الجدول336112[[#This Row],[إفرادي القطعة الواحدة]]*0.2397184</f>
        <v>0.28766207999999999</v>
      </c>
      <c r="K15" s="34">
        <f>الجدول336112[[#This Row],[إفرادي القطعة الواحدة]]+الجدول336112[[#This Row],[أجور الشحن للقطعة الواحدة]]</f>
        <v>1.48766208</v>
      </c>
      <c r="L15" s="34">
        <f>الجدول336112[[#This Row],[العدد]]*الجدول336112[[#This Row],[إجمالي تكلفة القطعة الواحدة]]</f>
        <v>2945.5709184000002</v>
      </c>
      <c r="M15" s="34" t="s">
        <v>5</v>
      </c>
      <c r="N15" s="18">
        <v>10</v>
      </c>
      <c r="O15" s="19"/>
      <c r="P15" s="18"/>
    </row>
    <row r="16" spans="2:16" s="20" customFormat="1" ht="45" customHeight="1" x14ac:dyDescent="0.2">
      <c r="B16" s="15" t="str">
        <f>IF(الجدول336112[[#This Row],[اسم المسلّم]]="","",ROW()-8)</f>
        <v/>
      </c>
      <c r="C16" s="34"/>
      <c r="D16" s="33" t="s">
        <v>340</v>
      </c>
      <c r="E16" s="34" t="s">
        <v>348</v>
      </c>
      <c r="F16" s="34" t="s">
        <v>24</v>
      </c>
      <c r="G16" s="35" t="s">
        <v>341</v>
      </c>
      <c r="H16" s="34">
        <v>4</v>
      </c>
      <c r="I16" s="34">
        <v>25.27</v>
      </c>
      <c r="J16" s="34">
        <f>الجدول336112[[#This Row],[إفرادي القطعة الواحدة]]*0.2397184</f>
        <v>6.0576839680000001</v>
      </c>
      <c r="K16" s="34">
        <f>الجدول336112[[#This Row],[إفرادي القطعة الواحدة]]+الجدول336112[[#This Row],[أجور الشحن للقطعة الواحدة]]</f>
        <v>31.327683967999999</v>
      </c>
      <c r="L16" s="34">
        <f>الجدول336112[[#This Row],[العدد]]*الجدول336112[[#This Row],[إجمالي تكلفة القطعة الواحدة]]</f>
        <v>125.310735872</v>
      </c>
      <c r="M16" s="34" t="s">
        <v>5</v>
      </c>
      <c r="N16" s="21">
        <v>7</v>
      </c>
      <c r="O16" s="22"/>
      <c r="P16" s="21"/>
    </row>
    <row r="17" spans="2:16" s="20" customFormat="1" ht="45" customHeight="1" x14ac:dyDescent="0.2">
      <c r="B17" s="15" t="str">
        <f>IF(الجدول336112[[#This Row],[اسم المسلّم]]="","",ROW()-8)</f>
        <v/>
      </c>
      <c r="C17" s="34"/>
      <c r="D17" s="33" t="s">
        <v>340</v>
      </c>
      <c r="E17" s="34" t="s">
        <v>348</v>
      </c>
      <c r="F17" s="34" t="s">
        <v>22</v>
      </c>
      <c r="G17" s="35" t="s">
        <v>341</v>
      </c>
      <c r="H17" s="34">
        <v>4</v>
      </c>
      <c r="I17" s="34">
        <v>32.76</v>
      </c>
      <c r="J17" s="34">
        <f>الجدول336112[[#This Row],[إفرادي القطعة الواحدة]]*0.2397184</f>
        <v>7.8531747839999992</v>
      </c>
      <c r="K17" s="34">
        <f>الجدول336112[[#This Row],[إفرادي القطعة الواحدة]]+الجدول336112[[#This Row],[أجور الشحن للقطعة الواحدة]]</f>
        <v>40.613174783999995</v>
      </c>
      <c r="L17" s="34">
        <f>الجدول336112[[#This Row],[العدد]]*الجدول336112[[#This Row],[إجمالي تكلفة القطعة الواحدة]]</f>
        <v>162.45269913599998</v>
      </c>
      <c r="M17" s="34" t="s">
        <v>5</v>
      </c>
      <c r="N17" s="18">
        <v>7</v>
      </c>
      <c r="O17" s="19"/>
      <c r="P17" s="18"/>
    </row>
    <row r="18" spans="2:16" s="20" customFormat="1" ht="45" customHeight="1" x14ac:dyDescent="0.2">
      <c r="B18" s="15" t="str">
        <f>IF(الجدول336112[[#This Row],[اسم المسلّم]]="","",ROW()-8)</f>
        <v/>
      </c>
      <c r="C18" s="34"/>
      <c r="D18" s="33" t="s">
        <v>352</v>
      </c>
      <c r="E18" s="34" t="s">
        <v>350</v>
      </c>
      <c r="F18" s="34" t="s">
        <v>349</v>
      </c>
      <c r="G18" s="35" t="s">
        <v>341</v>
      </c>
      <c r="H18" s="34">
        <v>120</v>
      </c>
      <c r="I18" s="34">
        <v>0</v>
      </c>
      <c r="J18" s="34">
        <f>الجدول336112[[#This Row],[إفرادي القطعة الواحدة]]*0.2397184</f>
        <v>0</v>
      </c>
      <c r="K18" s="34">
        <f>الجدول336112[[#This Row],[إفرادي القطعة الواحدة]]+الجدول336112[[#This Row],[أجور الشحن للقطعة الواحدة]]</f>
        <v>0</v>
      </c>
      <c r="L18" s="34">
        <f>الجدول336112[[#This Row],[العدد]]*الجدول336112[[#This Row],[إجمالي تكلفة القطعة الواحدة]]</f>
        <v>0</v>
      </c>
      <c r="M18" s="34" t="s">
        <v>5</v>
      </c>
      <c r="N18" s="18">
        <v>11</v>
      </c>
      <c r="O18" s="19"/>
      <c r="P18" s="18"/>
    </row>
    <row r="19" spans="2:16" s="20" customFormat="1" ht="45" customHeight="1" x14ac:dyDescent="0.2">
      <c r="B19" s="15" t="str">
        <f>IF(الجدول336112[[#This Row],[اسم المسلّم]]="","",ROW()-8)</f>
        <v/>
      </c>
      <c r="C19" s="34"/>
      <c r="D19" s="33" t="s">
        <v>320</v>
      </c>
      <c r="E19" s="34" t="s">
        <v>297</v>
      </c>
      <c r="F19" s="34" t="s">
        <v>186</v>
      </c>
      <c r="G19" s="35" t="s">
        <v>341</v>
      </c>
      <c r="H19" s="34">
        <v>51</v>
      </c>
      <c r="I19" s="34">
        <v>41.67</v>
      </c>
      <c r="J19" s="34">
        <f>الجدول336112[[#This Row],[إفرادي القطعة الواحدة]]*0.2397184</f>
        <v>9.9890657279999999</v>
      </c>
      <c r="K19" s="34">
        <f>الجدول336112[[#This Row],[إفرادي القطعة الواحدة]]+الجدول336112[[#This Row],[أجور الشحن للقطعة الواحدة]]</f>
        <v>51.659065728000002</v>
      </c>
      <c r="L19" s="34">
        <f>الجدول336112[[#This Row],[العدد]]*الجدول336112[[#This Row],[إجمالي تكلفة القطعة الواحدة]]</f>
        <v>2634.6123521280001</v>
      </c>
      <c r="M19" s="34" t="s">
        <v>5</v>
      </c>
      <c r="N19" s="18">
        <v>12</v>
      </c>
      <c r="O19" s="19"/>
      <c r="P19" s="18"/>
    </row>
    <row r="20" spans="2:16" s="20" customFormat="1" ht="45" customHeight="1" x14ac:dyDescent="0.2">
      <c r="B20" s="15" t="str">
        <f>IF(الجدول336112[[#This Row],[اسم المسلّم]]="","",ROW()-8)</f>
        <v/>
      </c>
      <c r="C20" s="34"/>
      <c r="D20" s="33" t="s">
        <v>352</v>
      </c>
      <c r="E20" s="34" t="s">
        <v>350</v>
      </c>
      <c r="F20" s="34" t="s">
        <v>351</v>
      </c>
      <c r="G20" s="35" t="s">
        <v>341</v>
      </c>
      <c r="H20" s="34">
        <v>200</v>
      </c>
      <c r="I20" s="34">
        <v>0</v>
      </c>
      <c r="J20" s="34">
        <f>الجدول336112[[#This Row],[إفرادي القطعة الواحدة]]*0.2397184</f>
        <v>0</v>
      </c>
      <c r="K20" s="34">
        <f>الجدول336112[[#This Row],[إفرادي القطعة الواحدة]]+الجدول336112[[#This Row],[أجور الشحن للقطعة الواحدة]]</f>
        <v>0</v>
      </c>
      <c r="L20" s="34">
        <f>الجدول336112[[#This Row],[العدد]]*الجدول336112[[#This Row],[إجمالي تكلفة القطعة الواحدة]]</f>
        <v>0</v>
      </c>
      <c r="M20" s="34" t="s">
        <v>5</v>
      </c>
      <c r="N20" s="18">
        <v>12</v>
      </c>
      <c r="O20" s="19"/>
      <c r="P20" s="18"/>
    </row>
    <row r="21" spans="2:16" s="20" customFormat="1" ht="45" customHeight="1" x14ac:dyDescent="0.2">
      <c r="B21" s="15" t="str">
        <f>IF(الجدول336112[[#This Row],[اسم المسلّم]]="","",ROW()-8)</f>
        <v/>
      </c>
      <c r="C21" s="34"/>
      <c r="D21" s="33" t="s">
        <v>331</v>
      </c>
      <c r="E21" s="34" t="s">
        <v>307</v>
      </c>
      <c r="F21" s="34" t="s">
        <v>353</v>
      </c>
      <c r="G21" s="35" t="s">
        <v>341</v>
      </c>
      <c r="H21" s="34">
        <v>1000</v>
      </c>
      <c r="I21" s="34">
        <v>0.68</v>
      </c>
      <c r="J21" s="34">
        <f>الجدول336112[[#This Row],[إفرادي القطعة الواحدة]]*0.2397184</f>
        <v>0.16300851200000002</v>
      </c>
      <c r="K21" s="34">
        <f>الجدول336112[[#This Row],[إفرادي القطعة الواحدة]]+الجدول336112[[#This Row],[أجور الشحن للقطعة الواحدة]]</f>
        <v>0.84300851200000004</v>
      </c>
      <c r="L21" s="34">
        <f>الجدول336112[[#This Row],[العدد]]*الجدول336112[[#This Row],[إجمالي تكلفة القطعة الواحدة]]</f>
        <v>843.008512</v>
      </c>
      <c r="M21" s="34" t="s">
        <v>5</v>
      </c>
      <c r="N21" s="18">
        <v>13</v>
      </c>
      <c r="O21" s="19"/>
      <c r="P21" s="19"/>
    </row>
    <row r="22" spans="2:16" s="20" customFormat="1" ht="45" customHeight="1" x14ac:dyDescent="0.2">
      <c r="B22" s="15" t="str">
        <f>IF(الجدول336112[[#This Row],[اسم المسلّم]]="","",ROW()-8)</f>
        <v/>
      </c>
      <c r="C22" s="34"/>
      <c r="D22" s="33" t="s">
        <v>354</v>
      </c>
      <c r="E22" s="34" t="s">
        <v>355</v>
      </c>
      <c r="F22" s="34" t="s">
        <v>19</v>
      </c>
      <c r="G22" s="35" t="s">
        <v>341</v>
      </c>
      <c r="H22" s="34">
        <v>380</v>
      </c>
      <c r="I22" s="34">
        <v>1.08</v>
      </c>
      <c r="J22" s="34">
        <f>الجدول336112[[#This Row],[إفرادي القطعة الواحدة]]*0.2397184</f>
        <v>0.25889587200000003</v>
      </c>
      <c r="K22" s="34">
        <f>الجدول336112[[#This Row],[إفرادي القطعة الواحدة]]+الجدول336112[[#This Row],[أجور الشحن للقطعة الواحدة]]</f>
        <v>1.3388958720000002</v>
      </c>
      <c r="L22" s="34">
        <f>الجدول336112[[#This Row],[العدد]]*الجدول336112[[#This Row],[إجمالي تكلفة القطعة الواحدة]]</f>
        <v>508.78043136000008</v>
      </c>
      <c r="M22" s="34" t="s">
        <v>5</v>
      </c>
      <c r="N22" s="18">
        <v>14</v>
      </c>
      <c r="O22" s="19"/>
      <c r="P22" s="18"/>
    </row>
    <row r="23" spans="2:16" s="20" customFormat="1" ht="45" customHeight="1" x14ac:dyDescent="0.2">
      <c r="B23" s="15" t="str">
        <f>IF(الجدول336112[[#This Row],[اسم المسلّم]]="","",ROW()-8)</f>
        <v/>
      </c>
      <c r="C23" s="34"/>
      <c r="D23" s="33" t="s">
        <v>354</v>
      </c>
      <c r="E23" s="34" t="s">
        <v>355</v>
      </c>
      <c r="F23" s="34" t="s">
        <v>49</v>
      </c>
      <c r="G23" s="35" t="s">
        <v>341</v>
      </c>
      <c r="H23" s="34">
        <v>281</v>
      </c>
      <c r="I23" s="34">
        <v>1.32</v>
      </c>
      <c r="J23" s="34">
        <f>الجدول336112[[#This Row],[إفرادي القطعة الواحدة]]*0.2397184</f>
        <v>0.316428288</v>
      </c>
      <c r="K23" s="34">
        <f>الجدول336112[[#This Row],[إفرادي القطعة الواحدة]]+الجدول336112[[#This Row],[أجور الشحن للقطعة الواحدة]]</f>
        <v>1.6364282880000001</v>
      </c>
      <c r="L23" s="34">
        <f>الجدول336112[[#This Row],[العدد]]*الجدول336112[[#This Row],[إجمالي تكلفة القطعة الواحدة]]</f>
        <v>459.83634892800001</v>
      </c>
      <c r="M23" s="34" t="s">
        <v>5</v>
      </c>
      <c r="N23" s="18">
        <v>14</v>
      </c>
      <c r="O23" s="19"/>
      <c r="P23" s="18"/>
    </row>
    <row r="24" spans="2:16" s="20" customFormat="1" ht="45" customHeight="1" x14ac:dyDescent="0.2">
      <c r="B24" s="15" t="str">
        <f>IF(الجدول336112[[#This Row],[اسم المسلّم]]="","",ROW()-8)</f>
        <v/>
      </c>
      <c r="C24" s="34"/>
      <c r="D24" s="33" t="s">
        <v>356</v>
      </c>
      <c r="E24" s="34" t="s">
        <v>357</v>
      </c>
      <c r="F24" s="34" t="s">
        <v>50</v>
      </c>
      <c r="G24" s="35" t="s">
        <v>341</v>
      </c>
      <c r="H24" s="34">
        <v>300</v>
      </c>
      <c r="I24" s="34">
        <v>1.38</v>
      </c>
      <c r="J24" s="34">
        <f>الجدول336112[[#This Row],[إفرادي القطعة الواحدة]]*0.2397184</f>
        <v>0.33081139199999998</v>
      </c>
      <c r="K24" s="34">
        <f>الجدول336112[[#This Row],[إفرادي القطعة الواحدة]]+الجدول336112[[#This Row],[أجور الشحن للقطعة الواحدة]]</f>
        <v>1.7108113919999999</v>
      </c>
      <c r="L24" s="34">
        <f>الجدول336112[[#This Row],[العدد]]*الجدول336112[[#This Row],[إجمالي تكلفة القطعة الواحدة]]</f>
        <v>513.24341759999993</v>
      </c>
      <c r="M24" s="34" t="s">
        <v>5</v>
      </c>
      <c r="N24" s="18">
        <v>14</v>
      </c>
      <c r="O24" s="19"/>
      <c r="P24" s="18"/>
    </row>
    <row r="25" spans="2:16" s="20" customFormat="1" ht="45" customHeight="1" x14ac:dyDescent="0.2">
      <c r="B25" s="15" t="str">
        <f>IF(الجدول336112[[#This Row],[اسم المسلّم]]="","",ROW()-8)</f>
        <v/>
      </c>
      <c r="C25" s="34"/>
      <c r="D25" s="33" t="s">
        <v>359</v>
      </c>
      <c r="E25" s="34" t="s">
        <v>358</v>
      </c>
      <c r="F25" s="34" t="s">
        <v>45</v>
      </c>
      <c r="G25" s="35" t="s">
        <v>341</v>
      </c>
      <c r="H25" s="34">
        <v>3</v>
      </c>
      <c r="I25" s="34">
        <v>6.81</v>
      </c>
      <c r="J25" s="34">
        <f>الجدول336112[[#This Row],[إفرادي القطعة الواحدة]]*0.2397184</f>
        <v>1.6324823039999998</v>
      </c>
      <c r="K25" s="34">
        <f>الجدول336112[[#This Row],[إفرادي القطعة الواحدة]]+الجدول336112[[#This Row],[أجور الشحن للقطعة الواحدة]]</f>
        <v>8.4424823039999985</v>
      </c>
      <c r="L25" s="34">
        <f>الجدول336112[[#This Row],[العدد]]*الجدول336112[[#This Row],[إجمالي تكلفة القطعة الواحدة]]</f>
        <v>25.327446911999996</v>
      </c>
      <c r="M25" s="34" t="s">
        <v>5</v>
      </c>
      <c r="N25" s="18">
        <v>14</v>
      </c>
      <c r="O25" s="19"/>
      <c r="P25" s="18"/>
    </row>
    <row r="26" spans="2:16" s="20" customFormat="1" ht="45" customHeight="1" x14ac:dyDescent="0.2">
      <c r="B26" s="15" t="str">
        <f>IF(الجدول336112[[#This Row],[اسم المسلّم]]="","",ROW()-8)</f>
        <v/>
      </c>
      <c r="C26" s="34"/>
      <c r="D26" s="33" t="s">
        <v>361</v>
      </c>
      <c r="E26" s="34" t="s">
        <v>360</v>
      </c>
      <c r="F26" s="34" t="s">
        <v>21</v>
      </c>
      <c r="G26" s="35" t="s">
        <v>341</v>
      </c>
      <c r="H26" s="34">
        <v>1</v>
      </c>
      <c r="I26" s="34">
        <v>121.17</v>
      </c>
      <c r="J26" s="34">
        <f>الجدول336112[[#This Row],[إفرادي القطعة الواحدة]]*0.2397184</f>
        <v>29.046678528000001</v>
      </c>
      <c r="K26" s="34">
        <f>الجدول336112[[#This Row],[إفرادي القطعة الواحدة]]+الجدول336112[[#This Row],[أجور الشحن للقطعة الواحدة]]</f>
        <v>150.21667852799999</v>
      </c>
      <c r="L26" s="34">
        <f>الجدول336112[[#This Row],[العدد]]*الجدول336112[[#This Row],[إجمالي تكلفة القطعة الواحدة]]</f>
        <v>150.21667852799999</v>
      </c>
      <c r="M26" s="34" t="s">
        <v>5</v>
      </c>
      <c r="N26" s="18">
        <v>14</v>
      </c>
      <c r="O26" s="19"/>
      <c r="P26" s="18"/>
    </row>
    <row r="27" spans="2:16" s="20" customFormat="1" ht="45" customHeight="1" x14ac:dyDescent="0.2">
      <c r="B27" s="15" t="str">
        <f>IF(الجدول336112[[#This Row],[اسم المسلّم]]="","",ROW()-8)</f>
        <v/>
      </c>
      <c r="C27" s="34"/>
      <c r="D27" s="33" t="s">
        <v>364</v>
      </c>
      <c r="E27" s="34" t="s">
        <v>362</v>
      </c>
      <c r="F27" s="34" t="s">
        <v>31</v>
      </c>
      <c r="G27" s="35" t="s">
        <v>341</v>
      </c>
      <c r="H27" s="34">
        <v>7</v>
      </c>
      <c r="I27" s="34">
        <v>0.81</v>
      </c>
      <c r="J27" s="34">
        <f>الجدول336112[[#This Row],[إفرادي القطعة الواحدة]]*0.2397184</f>
        <v>0.19417190400000001</v>
      </c>
      <c r="K27" s="34">
        <f>الجدول336112[[#This Row],[إفرادي القطعة الواحدة]]+الجدول336112[[#This Row],[أجور الشحن للقطعة الواحدة]]</f>
        <v>1.0041719040000001</v>
      </c>
      <c r="L27" s="34">
        <f>الجدول336112[[#This Row],[العدد]]*الجدول336112[[#This Row],[إجمالي تكلفة القطعة الواحدة]]</f>
        <v>7.0292033280000012</v>
      </c>
      <c r="M27" s="34" t="s">
        <v>5</v>
      </c>
      <c r="N27" s="18">
        <v>14</v>
      </c>
      <c r="O27" s="19"/>
      <c r="P27" s="18"/>
    </row>
    <row r="28" spans="2:16" s="20" customFormat="1" ht="45" customHeight="1" x14ac:dyDescent="0.2">
      <c r="B28" s="15" t="str">
        <f>IF(الجدول336112[[#This Row],[اسم المسلّم]]="","",ROW()-8)</f>
        <v/>
      </c>
      <c r="C28" s="34"/>
      <c r="D28" s="33" t="s">
        <v>365</v>
      </c>
      <c r="E28" s="34" t="s">
        <v>366</v>
      </c>
      <c r="F28" s="34" t="s">
        <v>752</v>
      </c>
      <c r="G28" s="35" t="s">
        <v>341</v>
      </c>
      <c r="H28" s="34">
        <v>7</v>
      </c>
      <c r="I28" s="34">
        <v>19.45</v>
      </c>
      <c r="J28" s="34">
        <f>الجدول336112[[#This Row],[إفرادي القطعة الواحدة]]*0.2397184</f>
        <v>4.66252288</v>
      </c>
      <c r="K28" s="34">
        <f>الجدول336112[[#This Row],[إفرادي القطعة الواحدة]]+الجدول336112[[#This Row],[أجور الشحن للقطعة الواحدة]]</f>
        <v>24.11252288</v>
      </c>
      <c r="L28" s="34">
        <f>الجدول336112[[#This Row],[العدد]]*الجدول336112[[#This Row],[إجمالي تكلفة القطعة الواحدة]]</f>
        <v>168.78766016</v>
      </c>
      <c r="M28" s="34" t="s">
        <v>5</v>
      </c>
      <c r="N28" s="18">
        <v>14</v>
      </c>
      <c r="O28" s="19"/>
      <c r="P28" s="18"/>
    </row>
    <row r="29" spans="2:16" s="20" customFormat="1" ht="45" customHeight="1" x14ac:dyDescent="0.2">
      <c r="B29" s="15" t="str">
        <f>IF(الجدول336112[[#This Row],[اسم المسلّم]]="","",ROW()-8)</f>
        <v/>
      </c>
      <c r="C29" s="34"/>
      <c r="D29" s="33" t="s">
        <v>340</v>
      </c>
      <c r="E29" s="34" t="s">
        <v>348</v>
      </c>
      <c r="F29" s="34" t="s">
        <v>15</v>
      </c>
      <c r="G29" s="35" t="s">
        <v>341</v>
      </c>
      <c r="H29" s="34">
        <v>29</v>
      </c>
      <c r="I29" s="34">
        <v>37.82</v>
      </c>
      <c r="J29" s="34">
        <f>الجدول336112[[#This Row],[إفرادي القطعة الواحدة]]*0.2397184</f>
        <v>9.066149888</v>
      </c>
      <c r="K29" s="34">
        <f>الجدول336112[[#This Row],[إفرادي القطعة الواحدة]]+الجدول336112[[#This Row],[أجور الشحن للقطعة الواحدة]]</f>
        <v>46.886149887999998</v>
      </c>
      <c r="L29" s="34">
        <f>الجدول336112[[#This Row],[العدد]]*الجدول336112[[#This Row],[إجمالي تكلفة القطعة الواحدة]]</f>
        <v>1359.6983467519999</v>
      </c>
      <c r="M29" s="34" t="s">
        <v>5</v>
      </c>
      <c r="N29" s="18">
        <v>15</v>
      </c>
      <c r="O29" s="19"/>
      <c r="P29" s="18"/>
    </row>
    <row r="30" spans="2:16" s="20" customFormat="1" ht="45" customHeight="1" x14ac:dyDescent="0.2">
      <c r="B30" s="15" t="str">
        <f>IF(الجدول336112[[#This Row],[اسم المسلّم]]="","",ROW()-8)</f>
        <v/>
      </c>
      <c r="C30" s="34"/>
      <c r="D30" s="33" t="s">
        <v>368</v>
      </c>
      <c r="E30" s="34" t="s">
        <v>367</v>
      </c>
      <c r="F30" s="34" t="s">
        <v>18</v>
      </c>
      <c r="G30" s="35" t="s">
        <v>341</v>
      </c>
      <c r="H30" s="34">
        <v>29</v>
      </c>
      <c r="I30" s="34">
        <v>23.78</v>
      </c>
      <c r="J30" s="34">
        <f>الجدول336112[[#This Row],[إفرادي القطعة الواحدة]]*0.2397184</f>
        <v>5.7005035519999998</v>
      </c>
      <c r="K30" s="34">
        <f>الجدول336112[[#This Row],[إفرادي القطعة الواحدة]]+الجدول336112[[#This Row],[أجور الشحن للقطعة الواحدة]]</f>
        <v>29.480503552000002</v>
      </c>
      <c r="L30" s="34">
        <f>الجدول336112[[#This Row],[العدد]]*الجدول336112[[#This Row],[إجمالي تكلفة القطعة الواحدة]]</f>
        <v>854.93460300800007</v>
      </c>
      <c r="M30" s="34" t="s">
        <v>5</v>
      </c>
      <c r="N30" s="18">
        <v>15</v>
      </c>
      <c r="O30" s="19"/>
      <c r="P30" s="18"/>
    </row>
    <row r="31" spans="2:16" s="20" customFormat="1" ht="45" customHeight="1" x14ac:dyDescent="0.2">
      <c r="B31" s="15" t="str">
        <f>IF(الجدول336112[[#This Row],[اسم المسلّم]]="","",ROW()-8)</f>
        <v/>
      </c>
      <c r="C31" s="34"/>
      <c r="D31" s="33" t="s">
        <v>368</v>
      </c>
      <c r="E31" s="34" t="s">
        <v>367</v>
      </c>
      <c r="F31" s="34" t="s">
        <v>13</v>
      </c>
      <c r="G31" s="35" t="s">
        <v>341</v>
      </c>
      <c r="H31" s="34">
        <v>25</v>
      </c>
      <c r="I31" s="34">
        <v>52.25</v>
      </c>
      <c r="J31" s="34">
        <f>الجدول336112[[#This Row],[إفرادي القطعة الواحدة]]*0.2397184</f>
        <v>12.525286400000001</v>
      </c>
      <c r="K31" s="34">
        <f>الجدول336112[[#This Row],[إفرادي القطعة الواحدة]]+الجدول336112[[#This Row],[أجور الشحن للقطعة الواحدة]]</f>
        <v>64.775286399999999</v>
      </c>
      <c r="L31" s="34">
        <f>الجدول336112[[#This Row],[العدد]]*الجدول336112[[#This Row],[إجمالي تكلفة القطعة الواحدة]]</f>
        <v>1619.3821599999999</v>
      </c>
      <c r="M31" s="34" t="s">
        <v>5</v>
      </c>
      <c r="N31" s="18">
        <v>15</v>
      </c>
      <c r="O31" s="19"/>
      <c r="P31" s="18"/>
    </row>
    <row r="32" spans="2:16" s="20" customFormat="1" ht="45" customHeight="1" x14ac:dyDescent="0.2">
      <c r="B32" s="15" t="str">
        <f>IF(الجدول336112[[#This Row],[اسم المسلّم]]="","",ROW()-8)</f>
        <v/>
      </c>
      <c r="C32" s="34"/>
      <c r="D32" s="33" t="s">
        <v>369</v>
      </c>
      <c r="E32" s="34" t="s">
        <v>371</v>
      </c>
      <c r="F32" s="34" t="s">
        <v>370</v>
      </c>
      <c r="G32" s="35" t="s">
        <v>341</v>
      </c>
      <c r="H32" s="34">
        <v>25</v>
      </c>
      <c r="I32" s="34">
        <v>4.57</v>
      </c>
      <c r="J32" s="34">
        <f>الجدول336112[[#This Row],[إفرادي القطعة الواحدة]]*0.2397184</f>
        <v>1.0955130880000001</v>
      </c>
      <c r="K32" s="34">
        <f>الجدول336112[[#This Row],[إفرادي القطعة الواحدة]]+الجدول336112[[#This Row],[أجور الشحن للقطعة الواحدة]]</f>
        <v>5.6655130880000009</v>
      </c>
      <c r="L32" s="34">
        <f>الجدول336112[[#This Row],[العدد]]*الجدول336112[[#This Row],[إجمالي تكلفة القطعة الواحدة]]</f>
        <v>141.63782720000003</v>
      </c>
      <c r="M32" s="34" t="s">
        <v>5</v>
      </c>
      <c r="N32" s="18">
        <v>14</v>
      </c>
      <c r="O32" s="19"/>
      <c r="P32" s="18"/>
    </row>
    <row r="33" spans="2:16" s="20" customFormat="1" ht="45" customHeight="1" x14ac:dyDescent="0.2">
      <c r="B33" s="15" t="str">
        <f>IF(الجدول336112[[#This Row],[اسم المسلّم]]="","",ROW()-8)</f>
        <v/>
      </c>
      <c r="C33" s="34"/>
      <c r="D33" s="33" t="s">
        <v>320</v>
      </c>
      <c r="E33" s="34" t="s">
        <v>297</v>
      </c>
      <c r="F33" s="34" t="s">
        <v>182</v>
      </c>
      <c r="G33" s="35" t="s">
        <v>341</v>
      </c>
      <c r="H33" s="34">
        <v>3</v>
      </c>
      <c r="I33" s="34">
        <v>41.67</v>
      </c>
      <c r="J33" s="34">
        <f>الجدول336112[[#This Row],[إفرادي القطعة الواحدة]]*0.2397184</f>
        <v>9.9890657279999999</v>
      </c>
      <c r="K33" s="34">
        <f>الجدول336112[[#This Row],[إفرادي القطعة الواحدة]]+الجدول336112[[#This Row],[أجور الشحن للقطعة الواحدة]]</f>
        <v>51.659065728000002</v>
      </c>
      <c r="L33" s="34">
        <f>الجدول336112[[#This Row],[العدد]]*الجدول336112[[#This Row],[إجمالي تكلفة القطعة الواحدة]]</f>
        <v>154.977197184</v>
      </c>
      <c r="M33" s="34" t="s">
        <v>5</v>
      </c>
      <c r="N33" s="18">
        <v>16</v>
      </c>
      <c r="O33" s="19"/>
      <c r="P33" s="18"/>
    </row>
    <row r="34" spans="2:16" s="20" customFormat="1" ht="45" customHeight="1" x14ac:dyDescent="0.2">
      <c r="B34" s="15" t="str">
        <f>IF(الجدول336112[[#This Row],[اسم المسلّم]]="","",ROW()-8)</f>
        <v/>
      </c>
      <c r="C34" s="34"/>
      <c r="D34" s="33" t="s">
        <v>320</v>
      </c>
      <c r="E34" s="34" t="s">
        <v>297</v>
      </c>
      <c r="F34" s="34" t="s">
        <v>183</v>
      </c>
      <c r="G34" s="35" t="s">
        <v>341</v>
      </c>
      <c r="H34" s="34">
        <v>41</v>
      </c>
      <c r="I34" s="34">
        <v>25</v>
      </c>
      <c r="J34" s="34">
        <f>الجدول336112[[#This Row],[إفرادي القطعة الواحدة]]*0.2397184</f>
        <v>5.9929600000000001</v>
      </c>
      <c r="K34" s="34">
        <f>الجدول336112[[#This Row],[إفرادي القطعة الواحدة]]+الجدول336112[[#This Row],[أجور الشحن للقطعة الواحدة]]</f>
        <v>30.99296</v>
      </c>
      <c r="L34" s="34">
        <f>الجدول336112[[#This Row],[العدد]]*الجدول336112[[#This Row],[إجمالي تكلفة القطعة الواحدة]]</f>
        <v>1270.71136</v>
      </c>
      <c r="M34" s="34" t="s">
        <v>5</v>
      </c>
      <c r="N34" s="18">
        <v>16</v>
      </c>
      <c r="O34" s="19"/>
      <c r="P34" s="18"/>
    </row>
    <row r="35" spans="2:16" s="20" customFormat="1" ht="45" customHeight="1" x14ac:dyDescent="0.2">
      <c r="B35" s="15" t="str">
        <f>IF(الجدول336112[[#This Row],[اسم المسلّم]]="","",ROW()-8)</f>
        <v/>
      </c>
      <c r="C35" s="34"/>
      <c r="D35" s="33" t="s">
        <v>320</v>
      </c>
      <c r="E35" s="34" t="s">
        <v>297</v>
      </c>
      <c r="F35" s="34" t="s">
        <v>181</v>
      </c>
      <c r="G35" s="35" t="s">
        <v>341</v>
      </c>
      <c r="H35" s="34">
        <v>10</v>
      </c>
      <c r="I35" s="34">
        <v>41.67</v>
      </c>
      <c r="J35" s="34">
        <f>الجدول336112[[#This Row],[إفرادي القطعة الواحدة]]*0.2397184</f>
        <v>9.9890657279999999</v>
      </c>
      <c r="K35" s="34">
        <f>الجدول336112[[#This Row],[إفرادي القطعة الواحدة]]+الجدول336112[[#This Row],[أجور الشحن للقطعة الواحدة]]</f>
        <v>51.659065728000002</v>
      </c>
      <c r="L35" s="34">
        <f>الجدول336112[[#This Row],[العدد]]*الجدول336112[[#This Row],[إجمالي تكلفة القطعة الواحدة]]</f>
        <v>516.59065727999996</v>
      </c>
      <c r="M35" s="34" t="s">
        <v>5</v>
      </c>
      <c r="N35" s="18">
        <v>16</v>
      </c>
      <c r="O35" s="19"/>
      <c r="P35" s="18"/>
    </row>
    <row r="36" spans="2:16" s="20" customFormat="1" ht="45" customHeight="1" x14ac:dyDescent="0.2">
      <c r="B36" s="15" t="str">
        <f>IF(الجدول336112[[#This Row],[اسم المسلّم]]="","",ROW()-8)</f>
        <v/>
      </c>
      <c r="C36" s="34"/>
      <c r="D36" s="33" t="s">
        <v>324</v>
      </c>
      <c r="E36" s="34" t="s">
        <v>301</v>
      </c>
      <c r="F36" s="34" t="s">
        <v>222</v>
      </c>
      <c r="G36" s="35" t="s">
        <v>341</v>
      </c>
      <c r="H36" s="34">
        <v>50</v>
      </c>
      <c r="I36" s="34">
        <v>0.33</v>
      </c>
      <c r="J36" s="34">
        <f>الجدول336112[[#This Row],[إفرادي القطعة الواحدة]]*0.2397184</f>
        <v>7.9107072000000001E-2</v>
      </c>
      <c r="K36" s="34">
        <f>الجدول336112[[#This Row],[إفرادي القطعة الواحدة]]+الجدول336112[[#This Row],[أجور الشحن للقطعة الواحدة]]</f>
        <v>0.40910707200000002</v>
      </c>
      <c r="L36" s="34">
        <f>الجدول336112[[#This Row],[العدد]]*الجدول336112[[#This Row],[إجمالي تكلفة القطعة الواحدة]]</f>
        <v>20.455353600000002</v>
      </c>
      <c r="M36" s="34" t="s">
        <v>5</v>
      </c>
      <c r="N36" s="18">
        <v>17</v>
      </c>
      <c r="O36" s="19"/>
      <c r="P36" s="18"/>
    </row>
    <row r="37" spans="2:16" s="20" customFormat="1" ht="45" customHeight="1" x14ac:dyDescent="0.2">
      <c r="B37" s="15" t="str">
        <f>IF(الجدول336112[[#This Row],[اسم المسلّم]]="","",ROW()-8)</f>
        <v/>
      </c>
      <c r="C37" s="34"/>
      <c r="D37" s="33" t="s">
        <v>324</v>
      </c>
      <c r="E37" s="34" t="s">
        <v>301</v>
      </c>
      <c r="F37" s="34" t="s">
        <v>218</v>
      </c>
      <c r="G37" s="35" t="s">
        <v>341</v>
      </c>
      <c r="H37" s="34">
        <v>400</v>
      </c>
      <c r="I37" s="34">
        <v>0.5</v>
      </c>
      <c r="J37" s="34">
        <f>الجدول336112[[#This Row],[إفرادي القطعة الواحدة]]*0.2397184</f>
        <v>0.1198592</v>
      </c>
      <c r="K37" s="34">
        <f>الجدول336112[[#This Row],[إفرادي القطعة الواحدة]]+الجدول336112[[#This Row],[أجور الشحن للقطعة الواحدة]]</f>
        <v>0.61985920000000005</v>
      </c>
      <c r="L37" s="34">
        <f>الجدول336112[[#This Row],[العدد]]*الجدول336112[[#This Row],[إجمالي تكلفة القطعة الواحدة]]</f>
        <v>247.94368000000003</v>
      </c>
      <c r="M37" s="34" t="s">
        <v>5</v>
      </c>
      <c r="N37" s="18">
        <v>17</v>
      </c>
      <c r="O37" s="19"/>
      <c r="P37" s="18"/>
    </row>
    <row r="38" spans="2:16" s="20" customFormat="1" ht="45" customHeight="1" x14ac:dyDescent="0.2">
      <c r="B38" s="15" t="str">
        <f>IF(الجدول336112[[#This Row],[اسم المسلّم]]="","",ROW()-8)</f>
        <v/>
      </c>
      <c r="C38" s="34"/>
      <c r="D38" s="33" t="s">
        <v>324</v>
      </c>
      <c r="E38" s="34" t="s">
        <v>301</v>
      </c>
      <c r="F38" s="34" t="s">
        <v>221</v>
      </c>
      <c r="G38" s="35" t="s">
        <v>341</v>
      </c>
      <c r="H38" s="34">
        <v>20</v>
      </c>
      <c r="I38" s="34">
        <v>1.67</v>
      </c>
      <c r="J38" s="34">
        <f>الجدول336112[[#This Row],[إفرادي القطعة الواحدة]]*0.2397184</f>
        <v>0.400329728</v>
      </c>
      <c r="K38" s="34">
        <f>الجدول336112[[#This Row],[إفرادي القطعة الواحدة]]+الجدول336112[[#This Row],[أجور الشحن للقطعة الواحدة]]</f>
        <v>2.0703297279999999</v>
      </c>
      <c r="L38" s="34">
        <f>الجدول336112[[#This Row],[العدد]]*الجدول336112[[#This Row],[إجمالي تكلفة القطعة الواحدة]]</f>
        <v>41.406594560000002</v>
      </c>
      <c r="M38" s="34" t="s">
        <v>5</v>
      </c>
      <c r="N38" s="18">
        <v>17</v>
      </c>
      <c r="O38" s="19"/>
      <c r="P38" s="18"/>
    </row>
    <row r="39" spans="2:16" s="20" customFormat="1" ht="45" customHeight="1" x14ac:dyDescent="0.2">
      <c r="B39" s="15" t="str">
        <f>IF(الجدول336112[[#This Row],[اسم المسلّم]]="","",ROW()-8)</f>
        <v/>
      </c>
      <c r="C39" s="34"/>
      <c r="D39" s="33" t="s">
        <v>324</v>
      </c>
      <c r="E39" s="34" t="s">
        <v>301</v>
      </c>
      <c r="F39" s="34" t="s">
        <v>220</v>
      </c>
      <c r="G39" s="35" t="s">
        <v>341</v>
      </c>
      <c r="H39" s="34">
        <v>50</v>
      </c>
      <c r="I39" s="34">
        <v>2.5</v>
      </c>
      <c r="J39" s="34">
        <f>الجدول336112[[#This Row],[إفرادي القطعة الواحدة]]*0.2397184</f>
        <v>0.59929600000000005</v>
      </c>
      <c r="K39" s="34">
        <f>الجدول336112[[#This Row],[إفرادي القطعة الواحدة]]+الجدول336112[[#This Row],[أجور الشحن للقطعة الواحدة]]</f>
        <v>3.0992959999999998</v>
      </c>
      <c r="L39" s="34">
        <f>الجدول336112[[#This Row],[العدد]]*الجدول336112[[#This Row],[إجمالي تكلفة القطعة الواحدة]]</f>
        <v>154.9648</v>
      </c>
      <c r="M39" s="34" t="s">
        <v>5</v>
      </c>
      <c r="N39" s="18">
        <v>17</v>
      </c>
      <c r="O39" s="19"/>
      <c r="P39" s="18"/>
    </row>
    <row r="40" spans="2:16" s="20" customFormat="1" ht="45" customHeight="1" x14ac:dyDescent="0.2">
      <c r="B40" s="15" t="str">
        <f>IF(الجدول336112[[#This Row],[اسم المسلّم]]="","",ROW()-8)</f>
        <v/>
      </c>
      <c r="C40" s="34"/>
      <c r="D40" s="33" t="s">
        <v>324</v>
      </c>
      <c r="E40" s="34" t="s">
        <v>301</v>
      </c>
      <c r="F40" s="34" t="s">
        <v>219</v>
      </c>
      <c r="G40" s="35" t="s">
        <v>341</v>
      </c>
      <c r="H40" s="34">
        <v>50</v>
      </c>
      <c r="I40" s="34">
        <v>3.33</v>
      </c>
      <c r="J40" s="34">
        <f>الجدول336112[[#This Row],[إفرادي القطعة الواحدة]]*0.2397184</f>
        <v>0.79826227199999999</v>
      </c>
      <c r="K40" s="34">
        <f>الجدول336112[[#This Row],[إفرادي القطعة الواحدة]]+الجدول336112[[#This Row],[أجور الشحن للقطعة الواحدة]]</f>
        <v>4.1282622719999997</v>
      </c>
      <c r="L40" s="34">
        <f>الجدول336112[[#This Row],[العدد]]*الجدول336112[[#This Row],[إجمالي تكلفة القطعة الواحدة]]</f>
        <v>206.41311359999997</v>
      </c>
      <c r="M40" s="34" t="s">
        <v>5</v>
      </c>
      <c r="N40" s="18">
        <v>17</v>
      </c>
      <c r="O40" s="19"/>
      <c r="P40" s="18"/>
    </row>
    <row r="41" spans="2:16" s="20" customFormat="1" ht="45" customHeight="1" x14ac:dyDescent="0.2">
      <c r="B41" s="15" t="str">
        <f>IF(الجدول336112[[#This Row],[اسم المسلّم]]="","",ROW()-8)</f>
        <v/>
      </c>
      <c r="C41" s="34"/>
      <c r="D41" s="33" t="s">
        <v>324</v>
      </c>
      <c r="E41" s="34" t="s">
        <v>301</v>
      </c>
      <c r="F41" s="34" t="s">
        <v>217</v>
      </c>
      <c r="G41" s="35" t="s">
        <v>341</v>
      </c>
      <c r="H41" s="34">
        <v>40</v>
      </c>
      <c r="I41" s="34">
        <v>5</v>
      </c>
      <c r="J41" s="34">
        <f>الجدول336112[[#This Row],[إفرادي القطعة الواحدة]]*0.2397184</f>
        <v>1.1985920000000001</v>
      </c>
      <c r="K41" s="34">
        <f>الجدول336112[[#This Row],[إفرادي القطعة الواحدة]]+الجدول336112[[#This Row],[أجور الشحن للقطعة الواحدة]]</f>
        <v>6.1985919999999997</v>
      </c>
      <c r="L41" s="34">
        <f>الجدول336112[[#This Row],[العدد]]*الجدول336112[[#This Row],[إجمالي تكلفة القطعة الواحدة]]</f>
        <v>247.94367999999997</v>
      </c>
      <c r="M41" s="34" t="s">
        <v>5</v>
      </c>
      <c r="N41" s="21">
        <v>17</v>
      </c>
      <c r="O41" s="22"/>
      <c r="P41" s="21"/>
    </row>
    <row r="42" spans="2:16" s="20" customFormat="1" ht="45" customHeight="1" x14ac:dyDescent="0.2">
      <c r="B42" s="15" t="str">
        <f>IF(الجدول336112[[#This Row],[اسم المسلّم]]="","",ROW()-8)</f>
        <v/>
      </c>
      <c r="C42" s="34"/>
      <c r="D42" s="33" t="s">
        <v>326</v>
      </c>
      <c r="E42" s="34" t="s">
        <v>302</v>
      </c>
      <c r="F42" s="34" t="s">
        <v>224</v>
      </c>
      <c r="G42" s="35" t="s">
        <v>341</v>
      </c>
      <c r="H42" s="34">
        <v>150</v>
      </c>
      <c r="I42" s="34">
        <v>0.92</v>
      </c>
      <c r="J42" s="34">
        <f>الجدول336112[[#This Row],[إفرادي القطعة الواحدة]]*0.2397184</f>
        <v>0.220540928</v>
      </c>
      <c r="K42" s="34">
        <f>الجدول336112[[#This Row],[إفرادي القطعة الواحدة]]+الجدول336112[[#This Row],[أجور الشحن للقطعة الواحدة]]</f>
        <v>1.1405409280000001</v>
      </c>
      <c r="L42" s="34">
        <f>الجدول336112[[#This Row],[العدد]]*الجدول336112[[#This Row],[إجمالي تكلفة القطعة الواحدة]]</f>
        <v>171.0811392</v>
      </c>
      <c r="M42" s="34" t="s">
        <v>5</v>
      </c>
      <c r="N42" s="21">
        <v>17</v>
      </c>
      <c r="O42" s="22"/>
      <c r="P42" s="21"/>
    </row>
    <row r="43" spans="2:16" s="20" customFormat="1" ht="45" customHeight="1" x14ac:dyDescent="0.2">
      <c r="B43" s="15" t="str">
        <f>IF(الجدول336112[[#This Row],[اسم المسلّم]]="","",ROW()-8)</f>
        <v/>
      </c>
      <c r="C43" s="34"/>
      <c r="D43" s="33" t="s">
        <v>318</v>
      </c>
      <c r="E43" s="34" t="s">
        <v>295</v>
      </c>
      <c r="F43" s="34" t="s">
        <v>141</v>
      </c>
      <c r="G43" s="35" t="s">
        <v>341</v>
      </c>
      <c r="H43" s="34">
        <v>2</v>
      </c>
      <c r="I43" s="34">
        <v>2.38</v>
      </c>
      <c r="J43" s="34">
        <f>الجدول336112[[#This Row],[إفرادي القطعة الواحدة]]*0.2397184</f>
        <v>0.57052979199999998</v>
      </c>
      <c r="K43" s="34">
        <f>الجدول336112[[#This Row],[إفرادي القطعة الواحدة]]+الجدول336112[[#This Row],[أجور الشحن للقطعة الواحدة]]</f>
        <v>2.9505297919999998</v>
      </c>
      <c r="L43" s="34">
        <f>الجدول336112[[#This Row],[العدد]]*الجدول336112[[#This Row],[إجمالي تكلفة القطعة الواحدة]]</f>
        <v>5.9010595839999995</v>
      </c>
      <c r="M43" s="34" t="s">
        <v>5</v>
      </c>
      <c r="N43" s="21">
        <v>18</v>
      </c>
      <c r="O43" s="22"/>
      <c r="P43" s="21"/>
    </row>
    <row r="44" spans="2:16" s="20" customFormat="1" ht="45" customHeight="1" x14ac:dyDescent="0.2">
      <c r="B44" s="15" t="str">
        <f>IF(الجدول336112[[#This Row],[اسم المسلّم]]="","",ROW()-8)</f>
        <v/>
      </c>
      <c r="C44" s="34"/>
      <c r="D44" s="33" t="s">
        <v>318</v>
      </c>
      <c r="E44" s="34" t="s">
        <v>295</v>
      </c>
      <c r="F44" s="34" t="s">
        <v>142</v>
      </c>
      <c r="G44" s="35" t="s">
        <v>341</v>
      </c>
      <c r="H44" s="34">
        <v>50</v>
      </c>
      <c r="I44" s="34">
        <v>2.0499999999999998</v>
      </c>
      <c r="J44" s="34">
        <f>الجدول336112[[#This Row],[إفرادي القطعة الواحدة]]*0.2397184</f>
        <v>0.49142271999999998</v>
      </c>
      <c r="K44" s="34">
        <f>الجدول336112[[#This Row],[إفرادي القطعة الواحدة]]+الجدول336112[[#This Row],[أجور الشحن للقطعة الواحدة]]</f>
        <v>2.5414227199999999</v>
      </c>
      <c r="L44" s="34">
        <f>الجدول336112[[#This Row],[العدد]]*الجدول336112[[#This Row],[إجمالي تكلفة القطعة الواحدة]]</f>
        <v>127.071136</v>
      </c>
      <c r="M44" s="34" t="s">
        <v>5</v>
      </c>
      <c r="N44" s="21">
        <v>18</v>
      </c>
      <c r="O44" s="19"/>
      <c r="P44" s="18"/>
    </row>
    <row r="45" spans="2:16" s="20" customFormat="1" ht="45" customHeight="1" x14ac:dyDescent="0.2">
      <c r="B45" s="15" t="str">
        <f>IF(الجدول336112[[#This Row],[اسم المسلّم]]="","",ROW()-8)</f>
        <v/>
      </c>
      <c r="C45" s="34"/>
      <c r="D45" s="33" t="s">
        <v>318</v>
      </c>
      <c r="E45" s="34" t="s">
        <v>295</v>
      </c>
      <c r="F45" s="34" t="s">
        <v>143</v>
      </c>
      <c r="G45" s="35" t="s">
        <v>341</v>
      </c>
      <c r="H45" s="34">
        <v>93</v>
      </c>
      <c r="I45" s="34">
        <v>1.85</v>
      </c>
      <c r="J45" s="34">
        <f>الجدول336112[[#This Row],[إفرادي القطعة الواحدة]]*0.2397184</f>
        <v>0.44347903999999999</v>
      </c>
      <c r="K45" s="34">
        <f>الجدول336112[[#This Row],[إفرادي القطعة الواحدة]]+الجدول336112[[#This Row],[أجور الشحن للقطعة الواحدة]]</f>
        <v>2.2934790400000002</v>
      </c>
      <c r="L45" s="34">
        <f>الجدول336112[[#This Row],[العدد]]*الجدول336112[[#This Row],[إجمالي تكلفة القطعة الواحدة]]</f>
        <v>213.29355072000001</v>
      </c>
      <c r="M45" s="34" t="s">
        <v>5</v>
      </c>
      <c r="N45" s="21">
        <v>18</v>
      </c>
      <c r="O45" s="19"/>
      <c r="P45" s="18"/>
    </row>
    <row r="46" spans="2:16" s="20" customFormat="1" ht="45" customHeight="1" x14ac:dyDescent="0.2">
      <c r="B46" s="15" t="str">
        <f>IF(الجدول336112[[#This Row],[اسم المسلّم]]="","",ROW()-8)</f>
        <v/>
      </c>
      <c r="C46" s="34"/>
      <c r="D46" s="33" t="s">
        <v>318</v>
      </c>
      <c r="E46" s="34" t="s">
        <v>295</v>
      </c>
      <c r="F46" s="34" t="s">
        <v>144</v>
      </c>
      <c r="G46" s="35" t="s">
        <v>341</v>
      </c>
      <c r="H46" s="34">
        <v>30</v>
      </c>
      <c r="I46" s="34">
        <v>3.05</v>
      </c>
      <c r="J46" s="34">
        <f>الجدول336112[[#This Row],[إفرادي القطعة الواحدة]]*0.2397184</f>
        <v>0.73114111999999998</v>
      </c>
      <c r="K46" s="34">
        <f>الجدول336112[[#This Row],[إفرادي القطعة الواحدة]]+الجدول336112[[#This Row],[أجور الشحن للقطعة الواحدة]]</f>
        <v>3.78114112</v>
      </c>
      <c r="L46" s="34">
        <f>الجدول336112[[#This Row],[العدد]]*الجدول336112[[#This Row],[إجمالي تكلفة القطعة الواحدة]]</f>
        <v>113.4342336</v>
      </c>
      <c r="M46" s="34" t="s">
        <v>5</v>
      </c>
      <c r="N46" s="21">
        <v>18</v>
      </c>
      <c r="O46" s="19"/>
      <c r="P46" s="18"/>
    </row>
    <row r="47" spans="2:16" s="20" customFormat="1" ht="45" customHeight="1" x14ac:dyDescent="0.2">
      <c r="B47" s="15" t="str">
        <f>IF(الجدول336112[[#This Row],[اسم المسلّم]]="","",ROW()-8)</f>
        <v/>
      </c>
      <c r="C47" s="34"/>
      <c r="D47" s="33" t="s">
        <v>318</v>
      </c>
      <c r="E47" s="34" t="s">
        <v>295</v>
      </c>
      <c r="F47" s="34" t="s">
        <v>145</v>
      </c>
      <c r="G47" s="35" t="s">
        <v>341</v>
      </c>
      <c r="H47" s="34">
        <v>2</v>
      </c>
      <c r="I47" s="34">
        <v>4.72</v>
      </c>
      <c r="J47" s="34">
        <f>الجدول336112[[#This Row],[إفرادي القطعة الواحدة]]*0.2397184</f>
        <v>1.131470848</v>
      </c>
      <c r="K47" s="34">
        <f>الجدول336112[[#This Row],[إفرادي القطعة الواحدة]]+الجدول336112[[#This Row],[أجور الشحن للقطعة الواحدة]]</f>
        <v>5.8514708479999999</v>
      </c>
      <c r="L47" s="34">
        <f>الجدول336112[[#This Row],[العدد]]*الجدول336112[[#This Row],[إجمالي تكلفة القطعة الواحدة]]</f>
        <v>11.702941696</v>
      </c>
      <c r="M47" s="34" t="s">
        <v>5</v>
      </c>
      <c r="N47" s="21">
        <v>18</v>
      </c>
      <c r="O47" s="19"/>
      <c r="P47" s="18"/>
    </row>
    <row r="48" spans="2:16" s="20" customFormat="1" ht="45" customHeight="1" x14ac:dyDescent="0.2">
      <c r="B48" s="15" t="str">
        <f>IF(الجدول336112[[#This Row],[اسم المسلّم]]="","",ROW()-8)</f>
        <v/>
      </c>
      <c r="C48" s="34"/>
      <c r="D48" s="33" t="s">
        <v>318</v>
      </c>
      <c r="E48" s="34" t="s">
        <v>295</v>
      </c>
      <c r="F48" s="34" t="s">
        <v>146</v>
      </c>
      <c r="G48" s="35" t="s">
        <v>341</v>
      </c>
      <c r="H48" s="34">
        <v>5</v>
      </c>
      <c r="I48" s="34">
        <v>6.38</v>
      </c>
      <c r="J48" s="34">
        <f>الجدول336112[[#This Row],[إفرادي القطعة الواحدة]]*0.2397184</f>
        <v>1.5294033919999999</v>
      </c>
      <c r="K48" s="34">
        <f>الجدول336112[[#This Row],[إفرادي القطعة الواحدة]]+الجدول336112[[#This Row],[أجور الشحن للقطعة الواحدة]]</f>
        <v>7.9094033919999998</v>
      </c>
      <c r="L48" s="34">
        <f>الجدول336112[[#This Row],[العدد]]*الجدول336112[[#This Row],[إجمالي تكلفة القطعة الواحدة]]</f>
        <v>39.547016960000001</v>
      </c>
      <c r="M48" s="34" t="s">
        <v>5</v>
      </c>
      <c r="N48" s="21">
        <v>18</v>
      </c>
      <c r="O48" s="19"/>
      <c r="P48" s="18"/>
    </row>
    <row r="49" spans="2:16" s="20" customFormat="1" ht="45" customHeight="1" x14ac:dyDescent="0.2">
      <c r="B49" s="15" t="str">
        <f>IF(الجدول336112[[#This Row],[اسم المسلّم]]="","",ROW()-8)</f>
        <v/>
      </c>
      <c r="C49" s="34"/>
      <c r="D49" s="33" t="s">
        <v>318</v>
      </c>
      <c r="E49" s="34" t="s">
        <v>295</v>
      </c>
      <c r="F49" s="34" t="s">
        <v>147</v>
      </c>
      <c r="G49" s="35" t="s">
        <v>341</v>
      </c>
      <c r="H49" s="34">
        <v>26</v>
      </c>
      <c r="I49" s="34">
        <v>2.72</v>
      </c>
      <c r="J49" s="34">
        <f>الجدول336112[[#This Row],[إفرادي القطعة الواحدة]]*0.2397184</f>
        <v>0.65203404800000009</v>
      </c>
      <c r="K49" s="34">
        <f>الجدول336112[[#This Row],[إفرادي القطعة الواحدة]]+الجدول336112[[#This Row],[أجور الشحن للقطعة الواحدة]]</f>
        <v>3.3720340480000002</v>
      </c>
      <c r="L49" s="34">
        <f>الجدول336112[[#This Row],[العدد]]*الجدول336112[[#This Row],[إجمالي تكلفة القطعة الواحدة]]</f>
        <v>87.672885248</v>
      </c>
      <c r="M49" s="34" t="s">
        <v>5</v>
      </c>
      <c r="N49" s="21">
        <v>18</v>
      </c>
      <c r="O49" s="19"/>
      <c r="P49" s="18"/>
    </row>
    <row r="50" spans="2:16" s="20" customFormat="1" ht="45" customHeight="1" x14ac:dyDescent="0.2">
      <c r="B50" s="15" t="str">
        <f>IF(الجدول336112[[#This Row],[اسم المسلّم]]="","",ROW()-8)</f>
        <v/>
      </c>
      <c r="C50" s="34"/>
      <c r="D50" s="33" t="s">
        <v>318</v>
      </c>
      <c r="E50" s="34" t="s">
        <v>295</v>
      </c>
      <c r="F50" s="34" t="s">
        <v>148</v>
      </c>
      <c r="G50" s="35" t="s">
        <v>341</v>
      </c>
      <c r="H50" s="34">
        <v>35</v>
      </c>
      <c r="I50" s="34">
        <v>2.72</v>
      </c>
      <c r="J50" s="34">
        <f>الجدول336112[[#This Row],[إفرادي القطعة الواحدة]]*0.2397184</f>
        <v>0.65203404800000009</v>
      </c>
      <c r="K50" s="34">
        <f>الجدول336112[[#This Row],[إفرادي القطعة الواحدة]]+الجدول336112[[#This Row],[أجور الشحن للقطعة الواحدة]]</f>
        <v>3.3720340480000002</v>
      </c>
      <c r="L50" s="34">
        <f>الجدول336112[[#This Row],[العدد]]*الجدول336112[[#This Row],[إجمالي تكلفة القطعة الواحدة]]</f>
        <v>118.02119168</v>
      </c>
      <c r="M50" s="34" t="s">
        <v>5</v>
      </c>
      <c r="N50" s="21">
        <v>18</v>
      </c>
      <c r="O50" s="19"/>
      <c r="P50" s="18"/>
    </row>
    <row r="51" spans="2:16" s="20" customFormat="1" ht="45" customHeight="1" x14ac:dyDescent="0.2">
      <c r="B51" s="15" t="str">
        <f>IF(الجدول336112[[#This Row],[اسم المسلّم]]="","",ROW()-8)</f>
        <v/>
      </c>
      <c r="C51" s="34"/>
      <c r="D51" s="33" t="s">
        <v>318</v>
      </c>
      <c r="E51" s="34" t="s">
        <v>295</v>
      </c>
      <c r="F51" s="34" t="s">
        <v>149</v>
      </c>
      <c r="G51" s="35" t="s">
        <v>341</v>
      </c>
      <c r="H51" s="34">
        <v>14</v>
      </c>
      <c r="I51" s="34">
        <v>2.72</v>
      </c>
      <c r="J51" s="34">
        <f>الجدول336112[[#This Row],[إفرادي القطعة الواحدة]]*0.2397184</f>
        <v>0.65203404800000009</v>
      </c>
      <c r="K51" s="34">
        <f>الجدول336112[[#This Row],[إفرادي القطعة الواحدة]]+الجدول336112[[#This Row],[أجور الشحن للقطعة الواحدة]]</f>
        <v>3.3720340480000002</v>
      </c>
      <c r="L51" s="34">
        <f>الجدول336112[[#This Row],[العدد]]*الجدول336112[[#This Row],[إجمالي تكلفة القطعة الواحدة]]</f>
        <v>47.208476672000003</v>
      </c>
      <c r="M51" s="34" t="s">
        <v>5</v>
      </c>
      <c r="N51" s="21">
        <v>18</v>
      </c>
      <c r="O51" s="19"/>
      <c r="P51" s="18"/>
    </row>
    <row r="52" spans="2:16" s="20" customFormat="1" ht="45" customHeight="1" x14ac:dyDescent="0.2">
      <c r="B52" s="15" t="str">
        <f>IF(الجدول336112[[#This Row],[اسم المسلّم]]="","",ROW()-8)</f>
        <v/>
      </c>
      <c r="C52" s="34"/>
      <c r="D52" s="33" t="s">
        <v>318</v>
      </c>
      <c r="E52" s="34" t="s">
        <v>295</v>
      </c>
      <c r="F52" s="34" t="s">
        <v>150</v>
      </c>
      <c r="G52" s="35" t="s">
        <v>341</v>
      </c>
      <c r="H52" s="34">
        <v>29</v>
      </c>
      <c r="I52" s="34">
        <v>1.58</v>
      </c>
      <c r="J52" s="34">
        <f>الجدول336112[[#This Row],[إفرادي القطعة الواحدة]]*0.2397184</f>
        <v>0.37875507200000003</v>
      </c>
      <c r="K52" s="34">
        <f>الجدول336112[[#This Row],[إفرادي القطعة الواحدة]]+الجدول336112[[#This Row],[أجور الشحن للقطعة الواحدة]]</f>
        <v>1.9587550720000002</v>
      </c>
      <c r="L52" s="34">
        <f>الجدول336112[[#This Row],[العدد]]*الجدول336112[[#This Row],[إجمالي تكلفة القطعة الواحدة]]</f>
        <v>56.803897088000006</v>
      </c>
      <c r="M52" s="34" t="s">
        <v>5</v>
      </c>
      <c r="N52" s="21">
        <v>18</v>
      </c>
      <c r="O52" s="19"/>
      <c r="P52" s="18"/>
    </row>
    <row r="53" spans="2:16" s="20" customFormat="1" ht="45" customHeight="1" x14ac:dyDescent="0.2">
      <c r="B53" s="15" t="str">
        <f>IF(الجدول336112[[#This Row],[اسم المسلّم]]="","",ROW()-8)</f>
        <v/>
      </c>
      <c r="C53" s="34"/>
      <c r="D53" s="33" t="s">
        <v>318</v>
      </c>
      <c r="E53" s="34" t="s">
        <v>295</v>
      </c>
      <c r="F53" s="34" t="s">
        <v>151</v>
      </c>
      <c r="G53" s="35" t="s">
        <v>341</v>
      </c>
      <c r="H53" s="34">
        <v>54</v>
      </c>
      <c r="I53" s="34">
        <v>2.1800000000000002</v>
      </c>
      <c r="J53" s="34">
        <f>الجدول336112[[#This Row],[إفرادي القطعة الواحدة]]*0.2397184</f>
        <v>0.52258611200000005</v>
      </c>
      <c r="K53" s="34">
        <f>الجدول336112[[#This Row],[إفرادي القطعة الواحدة]]+الجدول336112[[#This Row],[أجور الشحن للقطعة الواحدة]]</f>
        <v>2.7025861120000001</v>
      </c>
      <c r="L53" s="34">
        <f>الجدول336112[[#This Row],[العدد]]*الجدول336112[[#This Row],[إجمالي تكلفة القطعة الواحدة]]</f>
        <v>145.939650048</v>
      </c>
      <c r="M53" s="34" t="s">
        <v>5</v>
      </c>
      <c r="N53" s="21">
        <v>18</v>
      </c>
      <c r="O53" s="19"/>
      <c r="P53" s="18"/>
    </row>
    <row r="54" spans="2:16" s="20" customFormat="1" ht="45" customHeight="1" x14ac:dyDescent="0.2">
      <c r="B54" s="15" t="str">
        <f>IF(الجدول336112[[#This Row],[اسم المسلّم]]="","",ROW()-8)</f>
        <v/>
      </c>
      <c r="C54" s="34"/>
      <c r="D54" s="33" t="s">
        <v>318</v>
      </c>
      <c r="E54" s="34" t="s">
        <v>295</v>
      </c>
      <c r="F54" s="34" t="s">
        <v>152</v>
      </c>
      <c r="G54" s="35" t="s">
        <v>341</v>
      </c>
      <c r="H54" s="34">
        <v>98</v>
      </c>
      <c r="I54" s="34">
        <v>2.1800000000000002</v>
      </c>
      <c r="J54" s="34">
        <f>الجدول336112[[#This Row],[إفرادي القطعة الواحدة]]*0.2397184</f>
        <v>0.52258611200000005</v>
      </c>
      <c r="K54" s="34">
        <f>الجدول336112[[#This Row],[إفرادي القطعة الواحدة]]+الجدول336112[[#This Row],[أجور الشحن للقطعة الواحدة]]</f>
        <v>2.7025861120000001</v>
      </c>
      <c r="L54" s="34">
        <f>الجدول336112[[#This Row],[العدد]]*الجدول336112[[#This Row],[إجمالي تكلفة القطعة الواحدة]]</f>
        <v>264.85343897600001</v>
      </c>
      <c r="M54" s="34" t="s">
        <v>5</v>
      </c>
      <c r="N54" s="21">
        <v>18</v>
      </c>
      <c r="O54" s="19"/>
      <c r="P54" s="18"/>
    </row>
    <row r="55" spans="2:16" s="20" customFormat="1" ht="45" customHeight="1" x14ac:dyDescent="0.2">
      <c r="B55" s="15" t="str">
        <f>IF(الجدول336112[[#This Row],[اسم المسلّم]]="","",ROW()-8)</f>
        <v/>
      </c>
      <c r="C55" s="34"/>
      <c r="D55" s="33" t="s">
        <v>318</v>
      </c>
      <c r="E55" s="34" t="s">
        <v>295</v>
      </c>
      <c r="F55" s="34" t="s">
        <v>153</v>
      </c>
      <c r="G55" s="35" t="s">
        <v>341</v>
      </c>
      <c r="H55" s="34">
        <v>96</v>
      </c>
      <c r="I55" s="34">
        <v>2.0499999999999998</v>
      </c>
      <c r="J55" s="34">
        <f>الجدول336112[[#This Row],[إفرادي القطعة الواحدة]]*0.2397184</f>
        <v>0.49142271999999998</v>
      </c>
      <c r="K55" s="34">
        <f>الجدول336112[[#This Row],[إفرادي القطعة الواحدة]]+الجدول336112[[#This Row],[أجور الشحن للقطعة الواحدة]]</f>
        <v>2.5414227199999999</v>
      </c>
      <c r="L55" s="34">
        <f>الجدول336112[[#This Row],[العدد]]*الجدول336112[[#This Row],[إجمالي تكلفة القطعة الواحدة]]</f>
        <v>243.97658111999999</v>
      </c>
      <c r="M55" s="34" t="s">
        <v>5</v>
      </c>
      <c r="N55" s="21">
        <v>18</v>
      </c>
      <c r="O55" s="19"/>
      <c r="P55" s="18"/>
    </row>
    <row r="56" spans="2:16" s="20" customFormat="1" ht="45" customHeight="1" x14ac:dyDescent="0.2">
      <c r="B56" s="15" t="str">
        <f>IF(الجدول336112[[#This Row],[اسم المسلّم]]="","",ROW()-8)</f>
        <v/>
      </c>
      <c r="C56" s="34"/>
      <c r="D56" s="33" t="s">
        <v>318</v>
      </c>
      <c r="E56" s="34" t="s">
        <v>295</v>
      </c>
      <c r="F56" s="34" t="s">
        <v>154</v>
      </c>
      <c r="G56" s="35" t="s">
        <v>341</v>
      </c>
      <c r="H56" s="34">
        <v>96</v>
      </c>
      <c r="I56" s="34">
        <v>2.38</v>
      </c>
      <c r="J56" s="34">
        <f>الجدول336112[[#This Row],[إفرادي القطعة الواحدة]]*0.2397184</f>
        <v>0.57052979199999998</v>
      </c>
      <c r="K56" s="34">
        <f>الجدول336112[[#This Row],[إفرادي القطعة الواحدة]]+الجدول336112[[#This Row],[أجور الشحن للقطعة الواحدة]]</f>
        <v>2.9505297919999998</v>
      </c>
      <c r="L56" s="34">
        <f>الجدول336112[[#This Row],[العدد]]*الجدول336112[[#This Row],[إجمالي تكلفة القطعة الواحدة]]</f>
        <v>283.25086003199999</v>
      </c>
      <c r="M56" s="34" t="s">
        <v>5</v>
      </c>
      <c r="N56" s="21">
        <v>18</v>
      </c>
      <c r="O56" s="19"/>
      <c r="P56" s="18"/>
    </row>
    <row r="57" spans="2:16" s="20" customFormat="1" ht="45" customHeight="1" x14ac:dyDescent="0.2">
      <c r="B57" s="15" t="str">
        <f>IF(الجدول336112[[#This Row],[اسم المسلّم]]="","",ROW()-8)</f>
        <v/>
      </c>
      <c r="C57" s="34"/>
      <c r="D57" s="33" t="s">
        <v>318</v>
      </c>
      <c r="E57" s="34" t="s">
        <v>295</v>
      </c>
      <c r="F57" s="34" t="s">
        <v>155</v>
      </c>
      <c r="G57" s="35" t="s">
        <v>341</v>
      </c>
      <c r="H57" s="34">
        <v>3</v>
      </c>
      <c r="I57" s="34">
        <v>1.88</v>
      </c>
      <c r="J57" s="34">
        <f>الجدول336112[[#This Row],[إفرادي القطعة الواحدة]]*0.2397184</f>
        <v>0.45067059199999998</v>
      </c>
      <c r="K57" s="34">
        <f>الجدول336112[[#This Row],[إفرادي القطعة الواحدة]]+الجدول336112[[#This Row],[أجور الشحن للقطعة الواحدة]]</f>
        <v>2.3306705919999997</v>
      </c>
      <c r="L57" s="34">
        <f>الجدول336112[[#This Row],[العدد]]*الجدول336112[[#This Row],[إجمالي تكلفة القطعة الواحدة]]</f>
        <v>6.9920117759999991</v>
      </c>
      <c r="M57" s="34" t="s">
        <v>5</v>
      </c>
      <c r="N57" s="21">
        <v>18</v>
      </c>
      <c r="O57" s="19"/>
      <c r="P57" s="23"/>
    </row>
    <row r="58" spans="2:16" s="20" customFormat="1" ht="45" customHeight="1" x14ac:dyDescent="0.2">
      <c r="B58" s="15" t="str">
        <f>IF(الجدول336112[[#This Row],[اسم المسلّم]]="","",ROW()-8)</f>
        <v/>
      </c>
      <c r="C58" s="34"/>
      <c r="D58" s="33" t="s">
        <v>318</v>
      </c>
      <c r="E58" s="34" t="s">
        <v>295</v>
      </c>
      <c r="F58" s="34" t="s">
        <v>156</v>
      </c>
      <c r="G58" s="35" t="s">
        <v>341</v>
      </c>
      <c r="H58" s="34">
        <v>50</v>
      </c>
      <c r="I58" s="34">
        <v>4.38</v>
      </c>
      <c r="J58" s="34">
        <f>الجدول336112[[#This Row],[إفرادي القطعة الواحدة]]*0.2397184</f>
        <v>1.0499665919999999</v>
      </c>
      <c r="K58" s="34">
        <f>الجدول336112[[#This Row],[إفرادي القطعة الواحدة]]+الجدول336112[[#This Row],[أجور الشحن للقطعة الواحدة]]</f>
        <v>5.4299665919999995</v>
      </c>
      <c r="L58" s="34">
        <f>الجدول336112[[#This Row],[العدد]]*الجدول336112[[#This Row],[إجمالي تكلفة القطعة الواحدة]]</f>
        <v>271.49832959999998</v>
      </c>
      <c r="M58" s="34" t="s">
        <v>5</v>
      </c>
      <c r="N58" s="21">
        <v>18</v>
      </c>
      <c r="O58" s="19"/>
      <c r="P58" s="18"/>
    </row>
    <row r="59" spans="2:16" s="20" customFormat="1" ht="45" customHeight="1" x14ac:dyDescent="0.2">
      <c r="B59" s="15" t="str">
        <f>IF(الجدول336112[[#This Row],[اسم المسلّم]]="","",ROW()-8)</f>
        <v/>
      </c>
      <c r="C59" s="34"/>
      <c r="D59" s="33" t="s">
        <v>318</v>
      </c>
      <c r="E59" s="34" t="s">
        <v>295</v>
      </c>
      <c r="F59" s="34" t="s">
        <v>143</v>
      </c>
      <c r="G59" s="35" t="s">
        <v>341</v>
      </c>
      <c r="H59" s="34">
        <v>148</v>
      </c>
      <c r="I59" s="34">
        <v>1.85</v>
      </c>
      <c r="J59" s="34">
        <f>الجدول336112[[#This Row],[إفرادي القطعة الواحدة]]*0.2397184</f>
        <v>0.44347903999999999</v>
      </c>
      <c r="K59" s="34">
        <f>الجدول336112[[#This Row],[إفرادي القطعة الواحدة]]+الجدول336112[[#This Row],[أجور الشحن للقطعة الواحدة]]</f>
        <v>2.2934790400000002</v>
      </c>
      <c r="L59" s="34">
        <f>الجدول336112[[#This Row],[العدد]]*الجدول336112[[#This Row],[إجمالي تكلفة القطعة الواحدة]]</f>
        <v>339.43489792000003</v>
      </c>
      <c r="M59" s="34" t="s">
        <v>5</v>
      </c>
      <c r="N59" s="21">
        <v>18</v>
      </c>
      <c r="O59" s="19"/>
      <c r="P59" s="18"/>
    </row>
    <row r="60" spans="2:16" s="20" customFormat="1" ht="45" customHeight="1" x14ac:dyDescent="0.2">
      <c r="B60" s="15" t="str">
        <f>IF(الجدول336112[[#This Row],[اسم المسلّم]]="","",ROW()-8)</f>
        <v/>
      </c>
      <c r="C60" s="34"/>
      <c r="D60" s="33" t="s">
        <v>318</v>
      </c>
      <c r="E60" s="34" t="s">
        <v>295</v>
      </c>
      <c r="F60" s="34" t="s">
        <v>157</v>
      </c>
      <c r="G60" s="35" t="s">
        <v>341</v>
      </c>
      <c r="H60" s="34">
        <v>185</v>
      </c>
      <c r="I60" s="34">
        <v>2.1800000000000002</v>
      </c>
      <c r="J60" s="34">
        <f>الجدول336112[[#This Row],[إفرادي القطعة الواحدة]]*0.2397184</f>
        <v>0.52258611200000005</v>
      </c>
      <c r="K60" s="34">
        <f>الجدول336112[[#This Row],[إفرادي القطعة الواحدة]]+الجدول336112[[#This Row],[أجور الشحن للقطعة الواحدة]]</f>
        <v>2.7025861120000001</v>
      </c>
      <c r="L60" s="34">
        <f>الجدول336112[[#This Row],[العدد]]*الجدول336112[[#This Row],[إجمالي تكلفة القطعة الواحدة]]</f>
        <v>499.97843072000001</v>
      </c>
      <c r="M60" s="34" t="s">
        <v>5</v>
      </c>
      <c r="N60" s="21">
        <v>18</v>
      </c>
      <c r="O60" s="19"/>
      <c r="P60" s="18"/>
    </row>
    <row r="61" spans="2:16" s="20" customFormat="1" ht="45" customHeight="1" x14ac:dyDescent="0.2">
      <c r="B61" s="15" t="str">
        <f>IF(الجدول336112[[#This Row],[اسم المسلّم]]="","",ROW()-8)</f>
        <v/>
      </c>
      <c r="C61" s="34"/>
      <c r="D61" s="33" t="s">
        <v>318</v>
      </c>
      <c r="E61" s="34" t="s">
        <v>295</v>
      </c>
      <c r="F61" s="34" t="s">
        <v>158</v>
      </c>
      <c r="G61" s="35" t="s">
        <v>341</v>
      </c>
      <c r="H61" s="34">
        <v>20</v>
      </c>
      <c r="I61" s="34">
        <v>1.25</v>
      </c>
      <c r="J61" s="34">
        <f>الجدول336112[[#This Row],[إفرادي القطعة الواحدة]]*0.2397184</f>
        <v>0.29964800000000003</v>
      </c>
      <c r="K61" s="34">
        <f>الجدول336112[[#This Row],[إفرادي القطعة الواحدة]]+الجدول336112[[#This Row],[أجور الشحن للقطعة الواحدة]]</f>
        <v>1.5496479999999999</v>
      </c>
      <c r="L61" s="34">
        <f>الجدول336112[[#This Row],[العدد]]*الجدول336112[[#This Row],[إجمالي تكلفة القطعة الواحدة]]</f>
        <v>30.992959999999997</v>
      </c>
      <c r="M61" s="34" t="s">
        <v>5</v>
      </c>
      <c r="N61" s="21">
        <v>18</v>
      </c>
      <c r="O61" s="19"/>
      <c r="P61" s="18"/>
    </row>
    <row r="62" spans="2:16" s="20" customFormat="1" ht="45" customHeight="1" x14ac:dyDescent="0.2">
      <c r="B62" s="15" t="str">
        <f>IF(الجدول336112[[#This Row],[اسم المسلّم]]="","",ROW()-8)</f>
        <v/>
      </c>
      <c r="C62" s="34"/>
      <c r="D62" s="33" t="s">
        <v>318</v>
      </c>
      <c r="E62" s="34" t="s">
        <v>295</v>
      </c>
      <c r="F62" s="34" t="s">
        <v>159</v>
      </c>
      <c r="G62" s="35" t="s">
        <v>341</v>
      </c>
      <c r="H62" s="34">
        <v>37</v>
      </c>
      <c r="I62" s="34">
        <v>3.72</v>
      </c>
      <c r="J62" s="34">
        <f>الجدول336112[[#This Row],[إفرادي القطعة الواحدة]]*0.2397184</f>
        <v>0.89175244800000009</v>
      </c>
      <c r="K62" s="34">
        <f>الجدول336112[[#This Row],[إفرادي القطعة الواحدة]]+الجدول336112[[#This Row],[أجور الشحن للقطعة الواحدة]]</f>
        <v>4.6117524480000007</v>
      </c>
      <c r="L62" s="34">
        <f>الجدول336112[[#This Row],[العدد]]*الجدول336112[[#This Row],[إجمالي تكلفة القطعة الواحدة]]</f>
        <v>170.63484057600002</v>
      </c>
      <c r="M62" s="34" t="s">
        <v>5</v>
      </c>
      <c r="N62" s="21">
        <v>18</v>
      </c>
      <c r="O62" s="19"/>
      <c r="P62" s="18"/>
    </row>
    <row r="63" spans="2:16" s="20" customFormat="1" ht="45" customHeight="1" x14ac:dyDescent="0.2">
      <c r="B63" s="15" t="str">
        <f>IF(الجدول336112[[#This Row],[اسم المسلّم]]="","",ROW()-8)</f>
        <v/>
      </c>
      <c r="C63" s="34"/>
      <c r="D63" s="33" t="s">
        <v>318</v>
      </c>
      <c r="E63" s="34" t="s">
        <v>295</v>
      </c>
      <c r="F63" s="34" t="s">
        <v>160</v>
      </c>
      <c r="G63" s="35" t="s">
        <v>341</v>
      </c>
      <c r="H63" s="34">
        <v>36</v>
      </c>
      <c r="I63" s="34">
        <v>3.72</v>
      </c>
      <c r="J63" s="34">
        <f>الجدول336112[[#This Row],[إفرادي القطعة الواحدة]]*0.2397184</f>
        <v>0.89175244800000009</v>
      </c>
      <c r="K63" s="34">
        <f>الجدول336112[[#This Row],[إفرادي القطعة الواحدة]]+الجدول336112[[#This Row],[أجور الشحن للقطعة الواحدة]]</f>
        <v>4.6117524480000007</v>
      </c>
      <c r="L63" s="34">
        <f>الجدول336112[[#This Row],[العدد]]*الجدول336112[[#This Row],[إجمالي تكلفة القطعة الواحدة]]</f>
        <v>166.02308812800004</v>
      </c>
      <c r="M63" s="34" t="s">
        <v>5</v>
      </c>
      <c r="N63" s="21">
        <v>18</v>
      </c>
      <c r="O63" s="19"/>
      <c r="P63" s="18"/>
    </row>
    <row r="64" spans="2:16" s="20" customFormat="1" ht="45" customHeight="1" x14ac:dyDescent="0.2">
      <c r="B64" s="15" t="str">
        <f>IF(الجدول336112[[#This Row],[اسم المسلّم]]="","",ROW()-8)</f>
        <v/>
      </c>
      <c r="C64" s="34"/>
      <c r="D64" s="33" t="s">
        <v>318</v>
      </c>
      <c r="E64" s="34" t="s">
        <v>295</v>
      </c>
      <c r="F64" s="34" t="s">
        <v>161</v>
      </c>
      <c r="G64" s="35" t="s">
        <v>341</v>
      </c>
      <c r="H64" s="34">
        <v>5</v>
      </c>
      <c r="I64" s="34">
        <v>5.05</v>
      </c>
      <c r="J64" s="34">
        <f>الجدول336112[[#This Row],[إفرادي القطعة الواحدة]]*0.2397184</f>
        <v>1.21057792</v>
      </c>
      <c r="K64" s="34">
        <f>الجدول336112[[#This Row],[إفرادي القطعة الواحدة]]+الجدول336112[[#This Row],[أجور الشحن للقطعة الواحدة]]</f>
        <v>6.2605779199999994</v>
      </c>
      <c r="L64" s="34">
        <f>الجدول336112[[#This Row],[العدد]]*الجدول336112[[#This Row],[إجمالي تكلفة القطعة الواحدة]]</f>
        <v>31.302889599999997</v>
      </c>
      <c r="M64" s="34" t="s">
        <v>5</v>
      </c>
      <c r="N64" s="21">
        <v>18</v>
      </c>
      <c r="O64" s="19"/>
      <c r="P64" s="18"/>
    </row>
    <row r="65" spans="2:16" s="20" customFormat="1" ht="45" customHeight="1" x14ac:dyDescent="0.2">
      <c r="B65" s="15" t="str">
        <f>IF(الجدول336112[[#This Row],[اسم المسلّم]]="","",ROW()-8)</f>
        <v/>
      </c>
      <c r="C65" s="34"/>
      <c r="D65" s="33" t="s">
        <v>318</v>
      </c>
      <c r="E65" s="34" t="s">
        <v>295</v>
      </c>
      <c r="F65" s="34" t="s">
        <v>162</v>
      </c>
      <c r="G65" s="35" t="s">
        <v>341</v>
      </c>
      <c r="H65" s="34">
        <v>13</v>
      </c>
      <c r="I65" s="34">
        <v>6.38</v>
      </c>
      <c r="J65" s="34">
        <f>الجدول336112[[#This Row],[إفرادي القطعة الواحدة]]*0.2397184</f>
        <v>1.5294033919999999</v>
      </c>
      <c r="K65" s="34">
        <f>الجدول336112[[#This Row],[إفرادي القطعة الواحدة]]+الجدول336112[[#This Row],[أجور الشحن للقطعة الواحدة]]</f>
        <v>7.9094033919999998</v>
      </c>
      <c r="L65" s="34">
        <f>الجدول336112[[#This Row],[العدد]]*الجدول336112[[#This Row],[إجمالي تكلفة القطعة الواحدة]]</f>
        <v>102.82224409599999</v>
      </c>
      <c r="M65" s="34" t="s">
        <v>5</v>
      </c>
      <c r="N65" s="21">
        <v>18</v>
      </c>
      <c r="O65" s="19"/>
      <c r="P65" s="18"/>
    </row>
    <row r="66" spans="2:16" s="20" customFormat="1" ht="45" customHeight="1" x14ac:dyDescent="0.2">
      <c r="B66" s="15" t="str">
        <f>IF(الجدول336112[[#This Row],[اسم المسلّم]]="","",ROW()-8)</f>
        <v/>
      </c>
      <c r="C66" s="34"/>
      <c r="D66" s="33" t="s">
        <v>318</v>
      </c>
      <c r="E66" s="34" t="s">
        <v>295</v>
      </c>
      <c r="F66" s="34" t="s">
        <v>163</v>
      </c>
      <c r="G66" s="35" t="s">
        <v>341</v>
      </c>
      <c r="H66" s="34">
        <v>8</v>
      </c>
      <c r="I66" s="34">
        <v>7.72</v>
      </c>
      <c r="J66" s="34">
        <f>الجدول336112[[#This Row],[إفرادي القطعة الواحدة]]*0.2397184</f>
        <v>1.8506260479999999</v>
      </c>
      <c r="K66" s="34">
        <f>الجدول336112[[#This Row],[إفرادي القطعة الواحدة]]+الجدول336112[[#This Row],[أجور الشحن للقطعة الواحدة]]</f>
        <v>9.5706260479999994</v>
      </c>
      <c r="L66" s="34">
        <f>الجدول336112[[#This Row],[العدد]]*الجدول336112[[#This Row],[إجمالي تكلفة القطعة الواحدة]]</f>
        <v>76.565008383999995</v>
      </c>
      <c r="M66" s="34" t="s">
        <v>5</v>
      </c>
      <c r="N66" s="21">
        <v>18</v>
      </c>
      <c r="O66" s="19"/>
      <c r="P66" s="18"/>
    </row>
    <row r="67" spans="2:16" s="20" customFormat="1" ht="45" customHeight="1" x14ac:dyDescent="0.2">
      <c r="B67" s="15" t="str">
        <f>IF(الجدول336112[[#This Row],[اسم المسلّم]]="","",ROW()-8)</f>
        <v/>
      </c>
      <c r="C67" s="34"/>
      <c r="D67" s="33" t="s">
        <v>318</v>
      </c>
      <c r="E67" s="34" t="s">
        <v>295</v>
      </c>
      <c r="F67" s="34" t="s">
        <v>164</v>
      </c>
      <c r="G67" s="35" t="s">
        <v>341</v>
      </c>
      <c r="H67" s="34">
        <v>24</v>
      </c>
      <c r="I67" s="34">
        <v>2.3199999999999998</v>
      </c>
      <c r="J67" s="34">
        <f>الجدول336112[[#This Row],[إفرادي القطعة الواحدة]]*0.2397184</f>
        <v>0.556146688</v>
      </c>
      <c r="K67" s="34">
        <f>الجدول336112[[#This Row],[إفرادي القطعة الواحدة]]+الجدول336112[[#This Row],[أجور الشحن للقطعة الواحدة]]</f>
        <v>2.876146688</v>
      </c>
      <c r="L67" s="34">
        <f>الجدول336112[[#This Row],[العدد]]*الجدول336112[[#This Row],[إجمالي تكلفة القطعة الواحدة]]</f>
        <v>69.027520511999995</v>
      </c>
      <c r="M67" s="34" t="s">
        <v>5</v>
      </c>
      <c r="N67" s="21">
        <v>18</v>
      </c>
      <c r="O67" s="19"/>
      <c r="P67" s="18"/>
    </row>
    <row r="68" spans="2:16" s="20" customFormat="1" ht="45" customHeight="1" x14ac:dyDescent="0.2">
      <c r="B68" s="15" t="str">
        <f>IF(الجدول336112[[#This Row],[اسم المسلّم]]="","",ROW()-8)</f>
        <v/>
      </c>
      <c r="C68" s="34"/>
      <c r="D68" s="33" t="s">
        <v>318</v>
      </c>
      <c r="E68" s="34" t="s">
        <v>295</v>
      </c>
      <c r="F68" s="34" t="s">
        <v>156</v>
      </c>
      <c r="G68" s="35" t="s">
        <v>341</v>
      </c>
      <c r="H68" s="34">
        <v>12</v>
      </c>
      <c r="I68" s="34">
        <v>4.38</v>
      </c>
      <c r="J68" s="34">
        <f>الجدول336112[[#This Row],[إفرادي القطعة الواحدة]]*0.2397184</f>
        <v>1.0499665919999999</v>
      </c>
      <c r="K68" s="34">
        <f>الجدول336112[[#This Row],[إفرادي القطعة الواحدة]]+الجدول336112[[#This Row],[أجور الشحن للقطعة الواحدة]]</f>
        <v>5.4299665919999995</v>
      </c>
      <c r="L68" s="34">
        <f>الجدول336112[[#This Row],[العدد]]*الجدول336112[[#This Row],[إجمالي تكلفة القطعة الواحدة]]</f>
        <v>65.159599103999994</v>
      </c>
      <c r="M68" s="34" t="s">
        <v>5</v>
      </c>
      <c r="N68" s="21">
        <v>18</v>
      </c>
      <c r="O68" s="19"/>
      <c r="P68" s="18"/>
    </row>
    <row r="69" spans="2:16" s="20" customFormat="1" ht="45" customHeight="1" x14ac:dyDescent="0.2">
      <c r="B69" s="15" t="str">
        <f>IF(الجدول336112[[#This Row],[اسم المسلّم]]="","",ROW()-8)</f>
        <v/>
      </c>
      <c r="C69" s="34"/>
      <c r="D69" s="33" t="s">
        <v>318</v>
      </c>
      <c r="E69" s="34" t="s">
        <v>295</v>
      </c>
      <c r="F69" s="34" t="s">
        <v>165</v>
      </c>
      <c r="G69" s="35" t="s">
        <v>341</v>
      </c>
      <c r="H69" s="34">
        <v>7</v>
      </c>
      <c r="I69" s="34">
        <v>1.45</v>
      </c>
      <c r="J69" s="34">
        <f>الجدول336112[[#This Row],[إفرادي القطعة الواحدة]]*0.2397184</f>
        <v>0.34759168000000001</v>
      </c>
      <c r="K69" s="34">
        <f>الجدول336112[[#This Row],[إفرادي القطعة الواحدة]]+الجدول336112[[#This Row],[أجور الشحن للقطعة الواحدة]]</f>
        <v>1.79759168</v>
      </c>
      <c r="L69" s="34">
        <f>الجدول336112[[#This Row],[العدد]]*الجدول336112[[#This Row],[إجمالي تكلفة القطعة الواحدة]]</f>
        <v>12.58314176</v>
      </c>
      <c r="M69" s="34" t="s">
        <v>5</v>
      </c>
      <c r="N69" s="21">
        <v>18</v>
      </c>
      <c r="O69" s="19"/>
      <c r="P69" s="18"/>
    </row>
    <row r="70" spans="2:16" s="20" customFormat="1" ht="45" customHeight="1" x14ac:dyDescent="0.2">
      <c r="B70" s="15" t="str">
        <f>IF(الجدول336112[[#This Row],[اسم المسلّم]]="","",ROW()-8)</f>
        <v/>
      </c>
      <c r="C70" s="34"/>
      <c r="D70" s="33" t="s">
        <v>318</v>
      </c>
      <c r="E70" s="34" t="s">
        <v>295</v>
      </c>
      <c r="F70" s="34" t="s">
        <v>166</v>
      </c>
      <c r="G70" s="35" t="s">
        <v>341</v>
      </c>
      <c r="H70" s="34">
        <v>26</v>
      </c>
      <c r="I70" s="34">
        <v>1.55</v>
      </c>
      <c r="J70" s="34">
        <f>الجدول336112[[#This Row],[إفرادي القطعة الواحدة]]*0.2397184</f>
        <v>0.37156351999999998</v>
      </c>
      <c r="K70" s="34">
        <f>الجدول336112[[#This Row],[إفرادي القطعة الواحدة]]+الجدول336112[[#This Row],[أجور الشحن للقطعة الواحدة]]</f>
        <v>1.9215635200000001</v>
      </c>
      <c r="L70" s="34">
        <f>الجدول336112[[#This Row],[العدد]]*الجدول336112[[#This Row],[إجمالي تكلفة القطعة الواحدة]]</f>
        <v>49.960651519999999</v>
      </c>
      <c r="M70" s="34" t="s">
        <v>5</v>
      </c>
      <c r="N70" s="21">
        <v>18</v>
      </c>
      <c r="O70" s="19"/>
      <c r="P70" s="18"/>
    </row>
    <row r="71" spans="2:16" s="20" customFormat="1" ht="45" customHeight="1" x14ac:dyDescent="0.2">
      <c r="B71" s="15" t="str">
        <f>IF(الجدول336112[[#This Row],[اسم المسلّم]]="","",ROW()-8)</f>
        <v/>
      </c>
      <c r="C71" s="34"/>
      <c r="D71" s="33" t="s">
        <v>318</v>
      </c>
      <c r="E71" s="34" t="s">
        <v>295</v>
      </c>
      <c r="F71" s="34" t="s">
        <v>167</v>
      </c>
      <c r="G71" s="35" t="s">
        <v>341</v>
      </c>
      <c r="H71" s="34">
        <v>9</v>
      </c>
      <c r="I71" s="34">
        <v>1.85</v>
      </c>
      <c r="J71" s="34">
        <f>الجدول336112[[#This Row],[إفرادي القطعة الواحدة]]*0.2397184</f>
        <v>0.44347903999999999</v>
      </c>
      <c r="K71" s="34">
        <f>الجدول336112[[#This Row],[إفرادي القطعة الواحدة]]+الجدول336112[[#This Row],[أجور الشحن للقطعة الواحدة]]</f>
        <v>2.2934790400000002</v>
      </c>
      <c r="L71" s="34">
        <f>الجدول336112[[#This Row],[العدد]]*الجدول336112[[#This Row],[إجمالي تكلفة القطعة الواحدة]]</f>
        <v>20.641311360000003</v>
      </c>
      <c r="M71" s="34" t="s">
        <v>5</v>
      </c>
      <c r="N71" s="21">
        <v>18</v>
      </c>
      <c r="O71" s="19"/>
      <c r="P71" s="18"/>
    </row>
    <row r="72" spans="2:16" s="20" customFormat="1" ht="45" customHeight="1" x14ac:dyDescent="0.2">
      <c r="B72" s="15" t="str">
        <f>IF(الجدول336112[[#This Row],[اسم المسلّم]]="","",ROW()-8)</f>
        <v/>
      </c>
      <c r="C72" s="34"/>
      <c r="D72" s="33" t="s">
        <v>318</v>
      </c>
      <c r="E72" s="34" t="s">
        <v>295</v>
      </c>
      <c r="F72" s="34" t="s">
        <v>168</v>
      </c>
      <c r="G72" s="35" t="s">
        <v>341</v>
      </c>
      <c r="H72" s="34">
        <v>6</v>
      </c>
      <c r="I72" s="34">
        <v>1.85</v>
      </c>
      <c r="J72" s="34">
        <f>الجدول336112[[#This Row],[إفرادي القطعة الواحدة]]*0.2397184</f>
        <v>0.44347903999999999</v>
      </c>
      <c r="K72" s="34">
        <f>الجدول336112[[#This Row],[إفرادي القطعة الواحدة]]+الجدول336112[[#This Row],[أجور الشحن للقطعة الواحدة]]</f>
        <v>2.2934790400000002</v>
      </c>
      <c r="L72" s="34">
        <f>الجدول336112[[#This Row],[العدد]]*الجدول336112[[#This Row],[إجمالي تكلفة القطعة الواحدة]]</f>
        <v>13.760874240000001</v>
      </c>
      <c r="M72" s="34" t="s">
        <v>5</v>
      </c>
      <c r="N72" s="21">
        <v>18</v>
      </c>
      <c r="O72" s="19"/>
      <c r="P72" s="18"/>
    </row>
    <row r="73" spans="2:16" s="20" customFormat="1" ht="45" customHeight="1" x14ac:dyDescent="0.2">
      <c r="B73" s="15" t="str">
        <f>IF(الجدول336112[[#This Row],[اسم المسلّم]]="","",ROW()-8)</f>
        <v/>
      </c>
      <c r="C73" s="34"/>
      <c r="D73" s="33" t="s">
        <v>318</v>
      </c>
      <c r="E73" s="34" t="s">
        <v>295</v>
      </c>
      <c r="F73" s="34" t="s">
        <v>169</v>
      </c>
      <c r="G73" s="35" t="s">
        <v>341</v>
      </c>
      <c r="H73" s="34">
        <v>4</v>
      </c>
      <c r="I73" s="34">
        <v>33.33</v>
      </c>
      <c r="J73" s="34">
        <f>الجدول336112[[#This Row],[إفرادي القطعة الواحدة]]*0.2397184</f>
        <v>7.9898142719999994</v>
      </c>
      <c r="K73" s="34">
        <f>الجدول336112[[#This Row],[إفرادي القطعة الواحدة]]+الجدول336112[[#This Row],[أجور الشحن للقطعة الواحدة]]</f>
        <v>41.319814271999995</v>
      </c>
      <c r="L73" s="34">
        <f>الجدول336112[[#This Row],[العدد]]*الجدول336112[[#This Row],[إجمالي تكلفة القطعة الواحدة]]</f>
        <v>165.27925708799998</v>
      </c>
      <c r="M73" s="34" t="s">
        <v>5</v>
      </c>
      <c r="N73" s="21">
        <v>18</v>
      </c>
      <c r="O73" s="19"/>
      <c r="P73" s="18"/>
    </row>
    <row r="74" spans="2:16" s="20" customFormat="1" ht="45" customHeight="1" x14ac:dyDescent="0.2">
      <c r="B74" s="15" t="str">
        <f>IF(الجدول336112[[#This Row],[اسم المسلّم]]="","",ROW()-8)</f>
        <v/>
      </c>
      <c r="C74" s="34"/>
      <c r="D74" s="33" t="s">
        <v>318</v>
      </c>
      <c r="E74" s="34" t="s">
        <v>295</v>
      </c>
      <c r="F74" s="34" t="s">
        <v>170</v>
      </c>
      <c r="G74" s="35" t="s">
        <v>341</v>
      </c>
      <c r="H74" s="34">
        <v>10</v>
      </c>
      <c r="I74" s="34">
        <v>16.670000000000002</v>
      </c>
      <c r="J74" s="34">
        <f>الجدول336112[[#This Row],[إفرادي القطعة الواحدة]]*0.2397184</f>
        <v>3.9961057280000003</v>
      </c>
      <c r="K74" s="34">
        <f>الجدول336112[[#This Row],[إفرادي القطعة الواحدة]]+الجدول336112[[#This Row],[أجور الشحن للقطعة الواحدة]]</f>
        <v>20.666105728000002</v>
      </c>
      <c r="L74" s="34">
        <f>الجدول336112[[#This Row],[العدد]]*الجدول336112[[#This Row],[إجمالي تكلفة القطعة الواحدة]]</f>
        <v>206.66105728000002</v>
      </c>
      <c r="M74" s="34" t="s">
        <v>5</v>
      </c>
      <c r="N74" s="21">
        <v>18</v>
      </c>
      <c r="O74" s="19"/>
      <c r="P74" s="18"/>
    </row>
    <row r="75" spans="2:16" s="20" customFormat="1" ht="45" customHeight="1" x14ac:dyDescent="0.2">
      <c r="B75" s="15" t="str">
        <f>IF(الجدول336112[[#This Row],[اسم المسلّم]]="","",ROW()-8)</f>
        <v/>
      </c>
      <c r="C75" s="34"/>
      <c r="D75" s="33" t="s">
        <v>318</v>
      </c>
      <c r="E75" s="34" t="s">
        <v>295</v>
      </c>
      <c r="F75" s="34" t="s">
        <v>171</v>
      </c>
      <c r="G75" s="35" t="s">
        <v>341</v>
      </c>
      <c r="H75" s="34">
        <v>5</v>
      </c>
      <c r="I75" s="34">
        <v>5</v>
      </c>
      <c r="J75" s="34">
        <f>الجدول336112[[#This Row],[إفرادي القطعة الواحدة]]*0.2397184</f>
        <v>1.1985920000000001</v>
      </c>
      <c r="K75" s="34">
        <f>الجدول336112[[#This Row],[إفرادي القطعة الواحدة]]+الجدول336112[[#This Row],[أجور الشحن للقطعة الواحدة]]</f>
        <v>6.1985919999999997</v>
      </c>
      <c r="L75" s="34">
        <f>الجدول336112[[#This Row],[العدد]]*الجدول336112[[#This Row],[إجمالي تكلفة القطعة الواحدة]]</f>
        <v>30.992959999999997</v>
      </c>
      <c r="M75" s="34" t="s">
        <v>5</v>
      </c>
      <c r="N75" s="21">
        <v>18</v>
      </c>
      <c r="O75" s="19"/>
      <c r="P75" s="18"/>
    </row>
    <row r="76" spans="2:16" s="20" customFormat="1" ht="45" customHeight="1" x14ac:dyDescent="0.2">
      <c r="B76" s="15" t="str">
        <f>IF(الجدول336112[[#This Row],[اسم المسلّم]]="","",ROW()-8)</f>
        <v/>
      </c>
      <c r="C76" s="34"/>
      <c r="D76" s="33" t="s">
        <v>372</v>
      </c>
      <c r="E76" s="34" t="s">
        <v>350</v>
      </c>
      <c r="F76" s="34" t="s">
        <v>373</v>
      </c>
      <c r="G76" s="35" t="s">
        <v>341</v>
      </c>
      <c r="H76" s="34">
        <v>2500</v>
      </c>
      <c r="I76" s="34">
        <v>0.67</v>
      </c>
      <c r="J76" s="34">
        <f>الجدول336112[[#This Row],[إفرادي القطعة الواحدة]]*0.2397184</f>
        <v>0.160611328</v>
      </c>
      <c r="K76" s="34">
        <f>الجدول336112[[#This Row],[إفرادي القطعة الواحدة]]+الجدول336112[[#This Row],[أجور الشحن للقطعة الواحدة]]</f>
        <v>0.83061132800000004</v>
      </c>
      <c r="L76" s="34">
        <f>الجدول336112[[#This Row],[العدد]]*الجدول336112[[#This Row],[إجمالي تكلفة القطعة الواحدة]]</f>
        <v>2076.5283199999999</v>
      </c>
      <c r="M76" s="34" t="s">
        <v>5</v>
      </c>
      <c r="N76" s="18">
        <v>19</v>
      </c>
      <c r="O76" s="19"/>
      <c r="P76" s="18"/>
    </row>
    <row r="77" spans="2:16" s="20" customFormat="1" ht="45" customHeight="1" x14ac:dyDescent="0.2">
      <c r="B77" s="15" t="str">
        <f>IF(الجدول336112[[#This Row],[اسم المسلّم]]="","",ROW()-8)</f>
        <v/>
      </c>
      <c r="C77" s="34"/>
      <c r="D77" s="33" t="s">
        <v>324</v>
      </c>
      <c r="E77" s="34" t="s">
        <v>301</v>
      </c>
      <c r="F77" s="34" t="s">
        <v>225</v>
      </c>
      <c r="G77" s="35" t="s">
        <v>374</v>
      </c>
      <c r="H77" s="34">
        <v>74</v>
      </c>
      <c r="I77" s="34">
        <v>25</v>
      </c>
      <c r="J77" s="34">
        <f>الجدول336112[[#This Row],[إفرادي القطعة الواحدة]]*0.2397184</f>
        <v>5.9929600000000001</v>
      </c>
      <c r="K77" s="34">
        <f>الجدول336112[[#This Row],[إفرادي القطعة الواحدة]]+الجدول336112[[#This Row],[أجور الشحن للقطعة الواحدة]]</f>
        <v>30.99296</v>
      </c>
      <c r="L77" s="34">
        <f>الجدول336112[[#This Row],[العدد]]*الجدول336112[[#This Row],[إجمالي تكلفة القطعة الواحدة]]</f>
        <v>2293.4790400000002</v>
      </c>
      <c r="M77" s="34" t="s">
        <v>5</v>
      </c>
      <c r="N77" s="18">
        <v>20</v>
      </c>
      <c r="O77" s="19"/>
      <c r="P77" s="18"/>
    </row>
    <row r="78" spans="2:16" s="20" customFormat="1" ht="45" customHeight="1" x14ac:dyDescent="0.2">
      <c r="B78" s="15" t="str">
        <f>IF(الجدول336112[[#This Row],[اسم المسلّم]]="","",ROW()-8)</f>
        <v/>
      </c>
      <c r="C78" s="34"/>
      <c r="D78" s="33" t="s">
        <v>327</v>
      </c>
      <c r="E78" s="34" t="s">
        <v>303</v>
      </c>
      <c r="F78" s="34" t="s">
        <v>230</v>
      </c>
      <c r="G78" s="35" t="s">
        <v>341</v>
      </c>
      <c r="H78" s="34">
        <v>85</v>
      </c>
      <c r="I78" s="34">
        <v>0.83</v>
      </c>
      <c r="J78" s="34">
        <f>الجدول336112[[#This Row],[إفرادي القطعة الواحدة]]*0.2397184</f>
        <v>0.198966272</v>
      </c>
      <c r="K78" s="34">
        <f>الجدول336112[[#This Row],[إفرادي القطعة الواحدة]]+الجدول336112[[#This Row],[أجور الشحن للقطعة الواحدة]]</f>
        <v>1.0289662719999999</v>
      </c>
      <c r="L78" s="34">
        <f>الجدول336112[[#This Row],[العدد]]*الجدول336112[[#This Row],[إجمالي تكلفة القطعة الواحدة]]</f>
        <v>87.46213311999999</v>
      </c>
      <c r="M78" s="34" t="s">
        <v>5</v>
      </c>
      <c r="N78" s="18">
        <v>21</v>
      </c>
      <c r="O78" s="19"/>
      <c r="P78" s="18"/>
    </row>
    <row r="79" spans="2:16" s="20" customFormat="1" ht="45" customHeight="1" x14ac:dyDescent="0.2">
      <c r="B79" s="15" t="str">
        <f>IF(الجدول336112[[#This Row],[اسم المسلّم]]="","",ROW()-8)</f>
        <v/>
      </c>
      <c r="C79" s="34"/>
      <c r="D79" s="33" t="s">
        <v>327</v>
      </c>
      <c r="E79" s="34" t="s">
        <v>303</v>
      </c>
      <c r="F79" s="34" t="s">
        <v>227</v>
      </c>
      <c r="G79" s="35" t="s">
        <v>341</v>
      </c>
      <c r="H79" s="34">
        <v>394</v>
      </c>
      <c r="I79" s="34">
        <v>2.5</v>
      </c>
      <c r="J79" s="34">
        <f>الجدول336112[[#This Row],[إفرادي القطعة الواحدة]]*0.2397184</f>
        <v>0.59929600000000005</v>
      </c>
      <c r="K79" s="34">
        <f>الجدول336112[[#This Row],[إفرادي القطعة الواحدة]]+الجدول336112[[#This Row],[أجور الشحن للقطعة الواحدة]]</f>
        <v>3.0992959999999998</v>
      </c>
      <c r="L79" s="34">
        <f>الجدول336112[[#This Row],[العدد]]*الجدول336112[[#This Row],[إجمالي تكلفة القطعة الواحدة]]</f>
        <v>1221.1226239999999</v>
      </c>
      <c r="M79" s="34" t="s">
        <v>5</v>
      </c>
      <c r="N79" s="18">
        <v>21</v>
      </c>
      <c r="O79" s="19"/>
      <c r="P79" s="18"/>
    </row>
    <row r="80" spans="2:16" s="20" customFormat="1" ht="45" customHeight="1" x14ac:dyDescent="0.2">
      <c r="B80" s="15" t="str">
        <f>IF(الجدول336112[[#This Row],[اسم المسلّم]]="","",ROW()-8)</f>
        <v/>
      </c>
      <c r="C80" s="16"/>
      <c r="D80" s="17" t="s">
        <v>327</v>
      </c>
      <c r="E80" s="16" t="s">
        <v>303</v>
      </c>
      <c r="F80" s="16" t="s">
        <v>226</v>
      </c>
      <c r="G80" s="16" t="s">
        <v>341</v>
      </c>
      <c r="H80" s="16">
        <v>95</v>
      </c>
      <c r="I80" s="16">
        <v>3.33</v>
      </c>
      <c r="J80" s="16">
        <f>الجدول336112[[#This Row],[إفرادي القطعة الواحدة]]*0.2397184</f>
        <v>0.79826227199999999</v>
      </c>
      <c r="K80" s="16">
        <f>الجدول336112[[#This Row],[إفرادي القطعة الواحدة]]+الجدول336112[[#This Row],[أجور الشحن للقطعة الواحدة]]</f>
        <v>4.1282622719999997</v>
      </c>
      <c r="L80" s="16">
        <f>الجدول336112[[#This Row],[العدد]]*الجدول336112[[#This Row],[إجمالي تكلفة القطعة الواحدة]]</f>
        <v>392.18491583999997</v>
      </c>
      <c r="M80" s="16" t="s">
        <v>5</v>
      </c>
      <c r="N80" s="18">
        <v>21</v>
      </c>
      <c r="O80" s="19"/>
      <c r="P80" s="18"/>
    </row>
    <row r="81" spans="2:16" s="20" customFormat="1" ht="45" customHeight="1" x14ac:dyDescent="0.2">
      <c r="B81" s="15" t="str">
        <f>IF(الجدول336112[[#This Row],[اسم المسلّم]]="","",ROW()-8)</f>
        <v/>
      </c>
      <c r="C81" s="16"/>
      <c r="D81" s="33" t="s">
        <v>327</v>
      </c>
      <c r="E81" s="34" t="s">
        <v>303</v>
      </c>
      <c r="F81" s="34" t="s">
        <v>228</v>
      </c>
      <c r="G81" s="35" t="s">
        <v>341</v>
      </c>
      <c r="H81" s="34">
        <v>99</v>
      </c>
      <c r="I81" s="34">
        <v>5</v>
      </c>
      <c r="J81" s="34">
        <f>الجدول336112[[#This Row],[إفرادي القطعة الواحدة]]*0.2397184</f>
        <v>1.1985920000000001</v>
      </c>
      <c r="K81" s="34">
        <f>الجدول336112[[#This Row],[إفرادي القطعة الواحدة]]+الجدول336112[[#This Row],[أجور الشحن للقطعة الواحدة]]</f>
        <v>6.1985919999999997</v>
      </c>
      <c r="L81" s="34">
        <f>الجدول336112[[#This Row],[العدد]]*الجدول336112[[#This Row],[إجمالي تكلفة القطعة الواحدة]]</f>
        <v>613.66060799999991</v>
      </c>
      <c r="M81" s="34" t="s">
        <v>5</v>
      </c>
      <c r="N81" s="18">
        <v>21</v>
      </c>
      <c r="O81" s="19"/>
      <c r="P81" s="18"/>
    </row>
    <row r="82" spans="2:16" s="20" customFormat="1" ht="45" customHeight="1" x14ac:dyDescent="0.2">
      <c r="B82" s="15" t="str">
        <f>IF(الجدول336112[[#This Row],[اسم المسلّم]]="","",ROW()-8)</f>
        <v/>
      </c>
      <c r="C82" s="16"/>
      <c r="D82" s="33" t="s">
        <v>327</v>
      </c>
      <c r="E82" s="34" t="s">
        <v>303</v>
      </c>
      <c r="F82" s="34" t="s">
        <v>26</v>
      </c>
      <c r="G82" s="35" t="s">
        <v>341</v>
      </c>
      <c r="H82" s="34">
        <v>27</v>
      </c>
      <c r="I82" s="34">
        <v>2.86</v>
      </c>
      <c r="J82" s="34">
        <f>الجدول336112[[#This Row],[إفرادي القطعة الواحدة]]*0.2397184</f>
        <v>0.68559462399999993</v>
      </c>
      <c r="K82" s="34">
        <f>الجدول336112[[#This Row],[إفرادي القطعة الواحدة]]+الجدول336112[[#This Row],[أجور الشحن للقطعة الواحدة]]</f>
        <v>3.5455946239999996</v>
      </c>
      <c r="L82" s="34">
        <f>الجدول336112[[#This Row],[العدد]]*الجدول336112[[#This Row],[إجمالي تكلفة القطعة الواحدة]]</f>
        <v>95.731054847999985</v>
      </c>
      <c r="M82" s="34" t="s">
        <v>5</v>
      </c>
      <c r="N82" s="18">
        <v>21</v>
      </c>
      <c r="O82" s="19"/>
      <c r="P82" s="18"/>
    </row>
    <row r="83" spans="2:16" s="20" customFormat="1" ht="45" customHeight="1" x14ac:dyDescent="0.2">
      <c r="B83" s="15" t="str">
        <f>IF(الجدول336112[[#This Row],[اسم المسلّم]]="","",ROW()-8)</f>
        <v/>
      </c>
      <c r="C83" s="16"/>
      <c r="D83" s="33" t="s">
        <v>327</v>
      </c>
      <c r="E83" s="34" t="s">
        <v>303</v>
      </c>
      <c r="F83" s="34" t="s">
        <v>229</v>
      </c>
      <c r="G83" s="35" t="s">
        <v>341</v>
      </c>
      <c r="H83" s="34">
        <v>100</v>
      </c>
      <c r="I83" s="34">
        <v>2.5</v>
      </c>
      <c r="J83" s="34">
        <f>الجدول336112[[#This Row],[إفرادي القطعة الواحدة]]*0.2397184</f>
        <v>0.59929600000000005</v>
      </c>
      <c r="K83" s="34">
        <f>الجدول336112[[#This Row],[إفرادي القطعة الواحدة]]+الجدول336112[[#This Row],[أجور الشحن للقطعة الواحدة]]</f>
        <v>3.0992959999999998</v>
      </c>
      <c r="L83" s="34">
        <f>الجدول336112[[#This Row],[العدد]]*الجدول336112[[#This Row],[إجمالي تكلفة القطعة الواحدة]]</f>
        <v>309.92959999999999</v>
      </c>
      <c r="M83" s="34" t="s">
        <v>5</v>
      </c>
      <c r="N83" s="18">
        <v>21</v>
      </c>
      <c r="O83" s="19"/>
      <c r="P83" s="18"/>
    </row>
    <row r="84" spans="2:16" s="20" customFormat="1" ht="45" customHeight="1" x14ac:dyDescent="0.2">
      <c r="B84" s="15" t="str">
        <f>IF(الجدول336112[[#This Row],[اسم المسلّم]]="","",ROW()-8)</f>
        <v/>
      </c>
      <c r="C84" s="16"/>
      <c r="D84" s="33" t="s">
        <v>376</v>
      </c>
      <c r="E84" s="34" t="s">
        <v>310</v>
      </c>
      <c r="F84" s="34" t="s">
        <v>393</v>
      </c>
      <c r="G84" s="35" t="s">
        <v>375</v>
      </c>
      <c r="H84" s="34">
        <v>500</v>
      </c>
      <c r="I84" s="34">
        <v>0.36</v>
      </c>
      <c r="J84" s="34">
        <f>الجدول336112[[#This Row],[إفرادي القطعة الواحدة]]*0.2397184</f>
        <v>8.629862399999999E-2</v>
      </c>
      <c r="K84" s="34">
        <f>الجدول336112[[#This Row],[إفرادي القطعة الواحدة]]+الجدول336112[[#This Row],[أجور الشحن للقطعة الواحدة]]</f>
        <v>0.44629862399999998</v>
      </c>
      <c r="L84" s="34">
        <f>الجدول336112[[#This Row],[العدد]]*الجدول336112[[#This Row],[إجمالي تكلفة القطعة الواحدة]]</f>
        <v>223.14931199999998</v>
      </c>
      <c r="M84" s="34" t="s">
        <v>5</v>
      </c>
      <c r="N84" s="18">
        <v>22</v>
      </c>
      <c r="O84" s="19"/>
      <c r="P84" s="18"/>
    </row>
    <row r="85" spans="2:16" s="20" customFormat="1" ht="45" customHeight="1" x14ac:dyDescent="0.2">
      <c r="B85" s="15" t="str">
        <f>IF(الجدول336112[[#This Row],[اسم المسلّم]]="","",ROW()-8)</f>
        <v/>
      </c>
      <c r="C85" s="16"/>
      <c r="D85" s="33" t="s">
        <v>376</v>
      </c>
      <c r="E85" s="34" t="s">
        <v>310</v>
      </c>
      <c r="F85" s="34" t="s">
        <v>394</v>
      </c>
      <c r="G85" s="35" t="s">
        <v>375</v>
      </c>
      <c r="H85" s="34">
        <v>900</v>
      </c>
      <c r="I85" s="34">
        <v>0.38</v>
      </c>
      <c r="J85" s="34">
        <f>الجدول336112[[#This Row],[إفرادي القطعة الواحدة]]*0.2397184</f>
        <v>9.1092991999999998E-2</v>
      </c>
      <c r="K85" s="34">
        <f>الجدول336112[[#This Row],[إفرادي القطعة الواحدة]]+الجدول336112[[#This Row],[أجور الشحن للقطعة الواحدة]]</f>
        <v>0.47109299199999999</v>
      </c>
      <c r="L85" s="34">
        <f>الجدول336112[[#This Row],[العدد]]*الجدول336112[[#This Row],[إجمالي تكلفة القطعة الواحدة]]</f>
        <v>423.98369279999997</v>
      </c>
      <c r="M85" s="34" t="s">
        <v>5</v>
      </c>
      <c r="N85" s="18">
        <v>22</v>
      </c>
      <c r="O85" s="19"/>
      <c r="P85" s="18"/>
    </row>
    <row r="86" spans="2:16" s="20" customFormat="1" ht="45" customHeight="1" x14ac:dyDescent="0.2">
      <c r="B86" s="15" t="str">
        <f>IF(الجدول336112[[#This Row],[اسم المسلّم]]="","",ROW()-8)</f>
        <v/>
      </c>
      <c r="C86" s="16"/>
      <c r="D86" s="33" t="s">
        <v>376</v>
      </c>
      <c r="E86" s="34" t="s">
        <v>310</v>
      </c>
      <c r="F86" s="34" t="s">
        <v>395</v>
      </c>
      <c r="G86" s="35" t="s">
        <v>375</v>
      </c>
      <c r="H86" s="34">
        <v>1400</v>
      </c>
      <c r="I86" s="34">
        <v>0.45</v>
      </c>
      <c r="J86" s="34">
        <f>الجدول336112[[#This Row],[إفرادي القطعة الواحدة]]*0.2397184</f>
        <v>0.10787328</v>
      </c>
      <c r="K86" s="34">
        <f>الجدول336112[[#This Row],[إفرادي القطعة الواحدة]]+الجدول336112[[#This Row],[أجور الشحن للقطعة الواحدة]]</f>
        <v>0.55787328000000003</v>
      </c>
      <c r="L86" s="34">
        <f>الجدول336112[[#This Row],[العدد]]*الجدول336112[[#This Row],[إجمالي تكلفة القطعة الواحدة]]</f>
        <v>781.02259200000003</v>
      </c>
      <c r="M86" s="34" t="s">
        <v>5</v>
      </c>
      <c r="N86" s="18">
        <v>22</v>
      </c>
      <c r="O86" s="19"/>
      <c r="P86" s="18"/>
    </row>
    <row r="87" spans="2:16" s="20" customFormat="1" ht="45" customHeight="1" x14ac:dyDescent="0.2">
      <c r="B87" s="15" t="str">
        <f>IF(الجدول336112[[#This Row],[اسم المسلّم]]="","",ROW()-8)</f>
        <v/>
      </c>
      <c r="C87" s="16"/>
      <c r="D87" s="33" t="s">
        <v>376</v>
      </c>
      <c r="E87" s="34" t="s">
        <v>310</v>
      </c>
      <c r="F87" s="34" t="s">
        <v>396</v>
      </c>
      <c r="G87" s="35" t="s">
        <v>375</v>
      </c>
      <c r="H87" s="34">
        <v>400</v>
      </c>
      <c r="I87" s="34">
        <v>0.52</v>
      </c>
      <c r="J87" s="34">
        <f>الجدول336112[[#This Row],[إفرادي القطعة الواحدة]]*0.2397184</f>
        <v>0.12465356800000001</v>
      </c>
      <c r="K87" s="34">
        <f>الجدول336112[[#This Row],[إفرادي القطعة الواحدة]]+الجدول336112[[#This Row],[أجور الشحن للقطعة الواحدة]]</f>
        <v>0.64465356800000007</v>
      </c>
      <c r="L87" s="34">
        <f>الجدول336112[[#This Row],[العدد]]*الجدول336112[[#This Row],[إجمالي تكلفة القطعة الواحدة]]</f>
        <v>257.86142720000004</v>
      </c>
      <c r="M87" s="34" t="s">
        <v>5</v>
      </c>
      <c r="N87" s="18">
        <v>22</v>
      </c>
      <c r="O87" s="19"/>
      <c r="P87" s="18"/>
    </row>
    <row r="88" spans="2:16" s="20" customFormat="1" ht="45" customHeight="1" x14ac:dyDescent="0.2">
      <c r="B88" s="15" t="str">
        <f>IF(الجدول336112[[#This Row],[اسم المسلّم]]="","",ROW()-8)</f>
        <v/>
      </c>
      <c r="C88" s="16"/>
      <c r="D88" s="33" t="s">
        <v>376</v>
      </c>
      <c r="E88" s="34" t="s">
        <v>310</v>
      </c>
      <c r="F88" s="34" t="s">
        <v>397</v>
      </c>
      <c r="G88" s="35" t="s">
        <v>375</v>
      </c>
      <c r="H88" s="34">
        <v>400</v>
      </c>
      <c r="I88" s="34">
        <v>0.52</v>
      </c>
      <c r="J88" s="34">
        <f>الجدول336112[[#This Row],[إفرادي القطعة الواحدة]]*0.2397184</f>
        <v>0.12465356800000001</v>
      </c>
      <c r="K88" s="34">
        <f>الجدول336112[[#This Row],[إفرادي القطعة الواحدة]]+الجدول336112[[#This Row],[أجور الشحن للقطعة الواحدة]]</f>
        <v>0.64465356800000007</v>
      </c>
      <c r="L88" s="34">
        <f>الجدول336112[[#This Row],[العدد]]*الجدول336112[[#This Row],[إجمالي تكلفة القطعة الواحدة]]</f>
        <v>257.86142720000004</v>
      </c>
      <c r="M88" s="34" t="s">
        <v>5</v>
      </c>
      <c r="N88" s="18">
        <v>22</v>
      </c>
      <c r="O88" s="19"/>
      <c r="P88" s="18"/>
    </row>
    <row r="89" spans="2:16" s="20" customFormat="1" ht="45" customHeight="1" x14ac:dyDescent="0.2">
      <c r="B89" s="15" t="str">
        <f>IF(الجدول336112[[#This Row],[اسم المسلّم]]="","",ROW()-8)</f>
        <v/>
      </c>
      <c r="C89" s="16"/>
      <c r="D89" s="33" t="s">
        <v>376</v>
      </c>
      <c r="E89" s="34" t="s">
        <v>310</v>
      </c>
      <c r="F89" s="34" t="s">
        <v>398</v>
      </c>
      <c r="G89" s="35" t="s">
        <v>375</v>
      </c>
      <c r="H89" s="34">
        <v>120</v>
      </c>
      <c r="I89" s="34">
        <v>0.45</v>
      </c>
      <c r="J89" s="34">
        <f>الجدول336112[[#This Row],[إفرادي القطعة الواحدة]]*0.2397184</f>
        <v>0.10787328</v>
      </c>
      <c r="K89" s="34">
        <f>الجدول336112[[#This Row],[إفرادي القطعة الواحدة]]+الجدول336112[[#This Row],[أجور الشحن للقطعة الواحدة]]</f>
        <v>0.55787328000000003</v>
      </c>
      <c r="L89" s="34">
        <f>الجدول336112[[#This Row],[العدد]]*الجدول336112[[#This Row],[إجمالي تكلفة القطعة الواحدة]]</f>
        <v>66.944793599999997</v>
      </c>
      <c r="M89" s="34" t="s">
        <v>5</v>
      </c>
      <c r="N89" s="18">
        <v>22</v>
      </c>
      <c r="O89" s="19"/>
      <c r="P89" s="18"/>
    </row>
    <row r="90" spans="2:16" s="20" customFormat="1" ht="45" customHeight="1" x14ac:dyDescent="0.2">
      <c r="B90" s="15" t="str">
        <f>IF(الجدول336112[[#This Row],[اسم المسلّم]]="","",ROW()-8)</f>
        <v/>
      </c>
      <c r="C90" s="16"/>
      <c r="D90" s="33" t="s">
        <v>377</v>
      </c>
      <c r="E90" s="34" t="s">
        <v>310</v>
      </c>
      <c r="F90" s="34" t="s">
        <v>399</v>
      </c>
      <c r="G90" s="35" t="s">
        <v>375</v>
      </c>
      <c r="H90" s="34">
        <v>500</v>
      </c>
      <c r="I90" s="34">
        <v>0.28000000000000003</v>
      </c>
      <c r="J90" s="34">
        <f>الجدول336112[[#This Row],[إفرادي القطعة الواحدة]]*0.2397184</f>
        <v>6.7121152000000003E-2</v>
      </c>
      <c r="K90" s="34">
        <f>الجدول336112[[#This Row],[إفرادي القطعة الواحدة]]+الجدول336112[[#This Row],[أجور الشحن للقطعة الواحدة]]</f>
        <v>0.34712115200000004</v>
      </c>
      <c r="L90" s="34">
        <f>الجدول336112[[#This Row],[العدد]]*الجدول336112[[#This Row],[إجمالي تكلفة القطعة الواحدة]]</f>
        <v>173.56057600000003</v>
      </c>
      <c r="M90" s="34" t="s">
        <v>5</v>
      </c>
      <c r="N90" s="18">
        <v>22</v>
      </c>
      <c r="O90" s="19"/>
      <c r="P90" s="18"/>
    </row>
    <row r="91" spans="2:16" s="20" customFormat="1" ht="45" customHeight="1" x14ac:dyDescent="0.2">
      <c r="B91" s="15" t="str">
        <f>IF(الجدول336112[[#This Row],[اسم المسلّم]]="","",ROW()-8)</f>
        <v/>
      </c>
      <c r="C91" s="16"/>
      <c r="D91" s="33" t="s">
        <v>377</v>
      </c>
      <c r="E91" s="34" t="s">
        <v>310</v>
      </c>
      <c r="F91" s="34" t="s">
        <v>400</v>
      </c>
      <c r="G91" s="35" t="s">
        <v>375</v>
      </c>
      <c r="H91" s="34">
        <v>250</v>
      </c>
      <c r="I91" s="34">
        <v>0.72</v>
      </c>
      <c r="J91" s="34">
        <f>الجدول336112[[#This Row],[إفرادي القطعة الواحدة]]*0.2397184</f>
        <v>0.17259724799999998</v>
      </c>
      <c r="K91" s="34">
        <f>الجدول336112[[#This Row],[إفرادي القطعة الواحدة]]+الجدول336112[[#This Row],[أجور الشحن للقطعة الواحدة]]</f>
        <v>0.89259724799999995</v>
      </c>
      <c r="L91" s="34">
        <f>الجدول336112[[#This Row],[العدد]]*الجدول336112[[#This Row],[إجمالي تكلفة القطعة الواحدة]]</f>
        <v>223.14931199999998</v>
      </c>
      <c r="M91" s="34" t="s">
        <v>5</v>
      </c>
      <c r="N91" s="18">
        <v>22</v>
      </c>
      <c r="O91" s="19"/>
      <c r="P91" s="18"/>
    </row>
    <row r="92" spans="2:16" s="20" customFormat="1" ht="45" customHeight="1" x14ac:dyDescent="0.2">
      <c r="B92" s="15" t="str">
        <f>IF(الجدول336112[[#This Row],[اسم المسلّم]]="","",ROW()-8)</f>
        <v/>
      </c>
      <c r="C92" s="16"/>
      <c r="D92" s="33" t="s">
        <v>377</v>
      </c>
      <c r="E92" s="34" t="s">
        <v>310</v>
      </c>
      <c r="F92" s="34" t="s">
        <v>401</v>
      </c>
      <c r="G92" s="35" t="s">
        <v>375</v>
      </c>
      <c r="H92" s="34">
        <v>200</v>
      </c>
      <c r="I92" s="34">
        <v>0.46</v>
      </c>
      <c r="J92" s="34">
        <f>الجدول336112[[#This Row],[إفرادي القطعة الواحدة]]*0.2397184</f>
        <v>0.110270464</v>
      </c>
      <c r="K92" s="34">
        <f>الجدول336112[[#This Row],[إفرادي القطعة الواحدة]]+الجدول336112[[#This Row],[أجور الشحن للقطعة الواحدة]]</f>
        <v>0.57027046400000003</v>
      </c>
      <c r="L92" s="34">
        <f>الجدول336112[[#This Row],[العدد]]*الجدول336112[[#This Row],[إجمالي تكلفة القطعة الواحدة]]</f>
        <v>114.05409280000001</v>
      </c>
      <c r="M92" s="34" t="s">
        <v>5</v>
      </c>
      <c r="N92" s="18">
        <v>22</v>
      </c>
      <c r="O92" s="19"/>
      <c r="P92" s="18"/>
    </row>
    <row r="93" spans="2:16" s="20" customFormat="1" ht="45" customHeight="1" x14ac:dyDescent="0.2">
      <c r="B93" s="15" t="str">
        <f>IF(الجدول336112[[#This Row],[اسم المسلّم]]="","",ROW()-8)</f>
        <v/>
      </c>
      <c r="C93" s="16"/>
      <c r="D93" s="33" t="s">
        <v>377</v>
      </c>
      <c r="E93" s="34" t="s">
        <v>310</v>
      </c>
      <c r="F93" s="34" t="s">
        <v>402</v>
      </c>
      <c r="G93" s="35" t="s">
        <v>375</v>
      </c>
      <c r="H93" s="34">
        <v>500</v>
      </c>
      <c r="I93" s="34">
        <v>0.28000000000000003</v>
      </c>
      <c r="J93" s="34">
        <f>الجدول336112[[#This Row],[إفرادي القطعة الواحدة]]*0.2397184</f>
        <v>6.7121152000000003E-2</v>
      </c>
      <c r="K93" s="34">
        <f>الجدول336112[[#This Row],[إفرادي القطعة الواحدة]]+الجدول336112[[#This Row],[أجور الشحن للقطعة الواحدة]]</f>
        <v>0.34712115200000004</v>
      </c>
      <c r="L93" s="34">
        <f>الجدول336112[[#This Row],[العدد]]*الجدول336112[[#This Row],[إجمالي تكلفة القطعة الواحدة]]</f>
        <v>173.56057600000003</v>
      </c>
      <c r="M93" s="34" t="s">
        <v>5</v>
      </c>
      <c r="N93" s="18">
        <v>22</v>
      </c>
      <c r="O93" s="19"/>
      <c r="P93" s="18"/>
    </row>
    <row r="94" spans="2:16" s="20" customFormat="1" ht="45" customHeight="1" x14ac:dyDescent="0.2">
      <c r="B94" s="15" t="str">
        <f>IF(الجدول336112[[#This Row],[اسم المسلّم]]="","",ROW()-8)</f>
        <v/>
      </c>
      <c r="C94" s="16"/>
      <c r="D94" s="33" t="s">
        <v>377</v>
      </c>
      <c r="E94" s="34" t="s">
        <v>310</v>
      </c>
      <c r="F94" s="34" t="s">
        <v>403</v>
      </c>
      <c r="G94" s="35" t="s">
        <v>375</v>
      </c>
      <c r="H94" s="34">
        <v>250</v>
      </c>
      <c r="I94" s="34">
        <v>0.72</v>
      </c>
      <c r="J94" s="34">
        <f>الجدول336112[[#This Row],[إفرادي القطعة الواحدة]]*0.2397184</f>
        <v>0.17259724799999998</v>
      </c>
      <c r="K94" s="34">
        <f>الجدول336112[[#This Row],[إفرادي القطعة الواحدة]]+الجدول336112[[#This Row],[أجور الشحن للقطعة الواحدة]]</f>
        <v>0.89259724799999995</v>
      </c>
      <c r="L94" s="34">
        <f>الجدول336112[[#This Row],[العدد]]*الجدول336112[[#This Row],[إجمالي تكلفة القطعة الواحدة]]</f>
        <v>223.14931199999998</v>
      </c>
      <c r="M94" s="34" t="s">
        <v>5</v>
      </c>
      <c r="N94" s="18">
        <v>22</v>
      </c>
      <c r="O94" s="19"/>
      <c r="P94" s="18"/>
    </row>
    <row r="95" spans="2:16" s="20" customFormat="1" ht="45" customHeight="1" x14ac:dyDescent="0.2">
      <c r="B95" s="15" t="str">
        <f>IF(الجدول336112[[#This Row],[اسم المسلّم]]="","",ROW()-8)</f>
        <v/>
      </c>
      <c r="C95" s="16"/>
      <c r="D95" s="33" t="s">
        <v>377</v>
      </c>
      <c r="E95" s="34" t="s">
        <v>310</v>
      </c>
      <c r="F95" s="34" t="s">
        <v>404</v>
      </c>
      <c r="G95" s="35" t="s">
        <v>375</v>
      </c>
      <c r="H95" s="34">
        <v>200</v>
      </c>
      <c r="I95" s="34">
        <v>0.46</v>
      </c>
      <c r="J95" s="34">
        <f>الجدول336112[[#This Row],[إفرادي القطعة الواحدة]]*0.2397184</f>
        <v>0.110270464</v>
      </c>
      <c r="K95" s="34">
        <f>الجدول336112[[#This Row],[إفرادي القطعة الواحدة]]+الجدول336112[[#This Row],[أجور الشحن للقطعة الواحدة]]</f>
        <v>0.57027046400000003</v>
      </c>
      <c r="L95" s="34">
        <f>الجدول336112[[#This Row],[العدد]]*الجدول336112[[#This Row],[إجمالي تكلفة القطعة الواحدة]]</f>
        <v>114.05409280000001</v>
      </c>
      <c r="M95" s="34" t="s">
        <v>5</v>
      </c>
      <c r="N95" s="18">
        <v>22</v>
      </c>
      <c r="O95" s="19"/>
      <c r="P95" s="18"/>
    </row>
    <row r="96" spans="2:16" s="20" customFormat="1" ht="45" customHeight="1" x14ac:dyDescent="0.2">
      <c r="B96" s="15" t="str">
        <f>IF(الجدول336112[[#This Row],[اسم المسلّم]]="","",ROW()-8)</f>
        <v/>
      </c>
      <c r="C96" s="16"/>
      <c r="D96" s="33" t="s">
        <v>378</v>
      </c>
      <c r="E96" s="34" t="s">
        <v>379</v>
      </c>
      <c r="F96" s="34" t="s">
        <v>42</v>
      </c>
      <c r="G96" s="35" t="s">
        <v>341</v>
      </c>
      <c r="H96" s="34">
        <v>400</v>
      </c>
      <c r="I96" s="34">
        <v>32.43</v>
      </c>
      <c r="J96" s="34">
        <f>الجدول336112[[#This Row],[إفرادي القطعة الواحدة]]*0.2397184</f>
        <v>7.7740677119999999</v>
      </c>
      <c r="K96" s="34">
        <f>الجدول336112[[#This Row],[إفرادي القطعة الواحدة]]+الجدول336112[[#This Row],[أجور الشحن للقطعة الواحدة]]</f>
        <v>40.204067711999997</v>
      </c>
      <c r="L96" s="34">
        <f>الجدول336112[[#This Row],[العدد]]*الجدول336112[[#This Row],[إجمالي تكلفة القطعة الواحدة]]</f>
        <v>16081.627084799999</v>
      </c>
      <c r="M96" s="34" t="s">
        <v>5</v>
      </c>
      <c r="N96" s="18">
        <v>1</v>
      </c>
      <c r="O96" s="19"/>
      <c r="P96" s="18"/>
    </row>
    <row r="97" spans="1:16" s="20" customFormat="1" ht="45" customHeight="1" x14ac:dyDescent="0.2">
      <c r="A97" s="24"/>
      <c r="B97" s="15" t="str">
        <f>IF(الجدول336112[[#This Row],[اسم المسلّم]]="","",ROW()-8)</f>
        <v/>
      </c>
      <c r="C97" s="16"/>
      <c r="D97" s="33" t="s">
        <v>378</v>
      </c>
      <c r="E97" s="34" t="s">
        <v>379</v>
      </c>
      <c r="F97" s="34" t="s">
        <v>42</v>
      </c>
      <c r="G97" s="35" t="s">
        <v>341</v>
      </c>
      <c r="H97" s="34">
        <v>400</v>
      </c>
      <c r="I97" s="34">
        <v>32.43</v>
      </c>
      <c r="J97" s="34">
        <f>الجدول336112[[#This Row],[إفرادي القطعة الواحدة]]*0.2397184</f>
        <v>7.7740677119999999</v>
      </c>
      <c r="K97" s="34">
        <f>الجدول336112[[#This Row],[إفرادي القطعة الواحدة]]+الجدول336112[[#This Row],[أجور الشحن للقطعة الواحدة]]</f>
        <v>40.204067711999997</v>
      </c>
      <c r="L97" s="34">
        <f>الجدول336112[[#This Row],[العدد]]*الجدول336112[[#This Row],[إجمالي تكلفة القطعة الواحدة]]</f>
        <v>16081.627084799999</v>
      </c>
      <c r="M97" s="34" t="s">
        <v>5</v>
      </c>
      <c r="N97" s="18">
        <v>2</v>
      </c>
      <c r="O97" s="19"/>
      <c r="P97" s="18"/>
    </row>
    <row r="98" spans="1:16" s="20" customFormat="1" ht="45" customHeight="1" x14ac:dyDescent="0.2">
      <c r="A98" s="24"/>
      <c r="B98" s="15" t="str">
        <f>IF(الجدول336112[[#This Row],[اسم المسلّم]]="","",ROW()-8)</f>
        <v/>
      </c>
      <c r="C98" s="16"/>
      <c r="D98" s="33" t="s">
        <v>378</v>
      </c>
      <c r="E98" s="34" t="s">
        <v>379</v>
      </c>
      <c r="F98" s="34" t="s">
        <v>42</v>
      </c>
      <c r="G98" s="35" t="s">
        <v>341</v>
      </c>
      <c r="H98" s="34">
        <v>409</v>
      </c>
      <c r="I98" s="34">
        <v>32.43</v>
      </c>
      <c r="J98" s="34">
        <f>الجدول336112[[#This Row],[إفرادي القطعة الواحدة]]*0.2397184</f>
        <v>7.7740677119999999</v>
      </c>
      <c r="K98" s="34">
        <f>الجدول336112[[#This Row],[إفرادي القطعة الواحدة]]+الجدول336112[[#This Row],[أجور الشحن للقطعة الواحدة]]</f>
        <v>40.204067711999997</v>
      </c>
      <c r="L98" s="34">
        <f>الجدول336112[[#This Row],[العدد]]*الجدول336112[[#This Row],[إجمالي تكلفة القطعة الواحدة]]</f>
        <v>16443.463694208</v>
      </c>
      <c r="M98" s="34" t="s">
        <v>5</v>
      </c>
      <c r="N98" s="18">
        <v>3</v>
      </c>
      <c r="O98" s="19"/>
      <c r="P98" s="18"/>
    </row>
    <row r="99" spans="1:16" s="20" customFormat="1" ht="45" customHeight="1" x14ac:dyDescent="0.2">
      <c r="A99" s="24"/>
      <c r="B99" s="15" t="str">
        <f>IF(الجدول336112[[#This Row],[اسم المسلّم]]="","",ROW()-8)</f>
        <v/>
      </c>
      <c r="C99" s="16"/>
      <c r="D99" s="33" t="s">
        <v>380</v>
      </c>
      <c r="E99" s="34" t="s">
        <v>379</v>
      </c>
      <c r="F99" s="34" t="s">
        <v>41</v>
      </c>
      <c r="G99" s="35" t="s">
        <v>341</v>
      </c>
      <c r="H99" s="34">
        <v>160</v>
      </c>
      <c r="I99" s="34">
        <v>25.68</v>
      </c>
      <c r="J99" s="34">
        <f>الجدول336112[[#This Row],[إفرادي القطعة الواحدة]]*0.2397184</f>
        <v>6.1559685120000003</v>
      </c>
      <c r="K99" s="34">
        <f>الجدول336112[[#This Row],[إفرادي القطعة الواحدة]]+الجدول336112[[#This Row],[أجور الشحن للقطعة الواحدة]]</f>
        <v>31.835968512000001</v>
      </c>
      <c r="L99" s="34">
        <f>الجدول336112[[#This Row],[العدد]]*الجدول336112[[#This Row],[إجمالي تكلفة القطعة الواحدة]]</f>
        <v>5093.7549619199999</v>
      </c>
      <c r="M99" s="34" t="s">
        <v>5</v>
      </c>
      <c r="N99" s="18">
        <v>6</v>
      </c>
      <c r="O99" s="19"/>
      <c r="P99" s="18"/>
    </row>
    <row r="100" spans="1:16" s="20" customFormat="1" ht="45" customHeight="1" x14ac:dyDescent="0.2">
      <c r="A100" s="24"/>
      <c r="B100" s="15" t="str">
        <f>IF(الجدول336112[[#This Row],[اسم المسلّم]]="","",ROW()-8)</f>
        <v/>
      </c>
      <c r="C100" s="16"/>
      <c r="D100" s="17" t="s">
        <v>381</v>
      </c>
      <c r="E100" s="16" t="s">
        <v>382</v>
      </c>
      <c r="F100" s="16" t="s">
        <v>12</v>
      </c>
      <c r="G100" s="16" t="s">
        <v>341</v>
      </c>
      <c r="H100" s="16">
        <v>43</v>
      </c>
      <c r="I100" s="16">
        <v>38.72</v>
      </c>
      <c r="J100" s="16">
        <f>الجدول336112[[#This Row],[إفرادي القطعة الواحدة]]*0.2397184</f>
        <v>9.2818964479999995</v>
      </c>
      <c r="K100" s="16">
        <f>الجدول336112[[#This Row],[إفرادي القطعة الواحدة]]+الجدول336112[[#This Row],[أجور الشحن للقطعة الواحدة]]</f>
        <v>48.001896447999997</v>
      </c>
      <c r="L100" s="16">
        <f>الجدول336112[[#This Row],[العدد]]*الجدول336112[[#This Row],[إجمالي تكلفة القطعة الواحدة]]</f>
        <v>2064.0815472639997</v>
      </c>
      <c r="M100" s="16" t="s">
        <v>5</v>
      </c>
      <c r="N100" s="18">
        <v>6</v>
      </c>
      <c r="O100" s="19"/>
      <c r="P100" s="18"/>
    </row>
    <row r="101" spans="1:16" s="20" customFormat="1" ht="45" customHeight="1" x14ac:dyDescent="0.2">
      <c r="A101" s="24"/>
      <c r="B101" s="15" t="str">
        <f>IF(الجدول336112[[#This Row],[اسم المسلّم]]="","",ROW()-8)</f>
        <v/>
      </c>
      <c r="C101" s="16"/>
      <c r="D101" s="17" t="s">
        <v>383</v>
      </c>
      <c r="E101" s="16" t="s">
        <v>382</v>
      </c>
      <c r="F101" s="16" t="s">
        <v>17</v>
      </c>
      <c r="G101" s="16" t="s">
        <v>341</v>
      </c>
      <c r="H101" s="16">
        <v>6</v>
      </c>
      <c r="I101" s="16">
        <v>168.11</v>
      </c>
      <c r="J101" s="16">
        <f>الجدول336112[[#This Row],[إفرادي القطعة الواحدة]]*0.2397184</f>
        <v>40.299060224000002</v>
      </c>
      <c r="K101" s="16">
        <f>الجدول336112[[#This Row],[إفرادي القطعة الواحدة]]+الجدول336112[[#This Row],[أجور الشحن للقطعة الواحدة]]</f>
        <v>208.40906022400003</v>
      </c>
      <c r="L101" s="16">
        <f>الجدول336112[[#This Row],[العدد]]*الجدول336112[[#This Row],[إجمالي تكلفة القطعة الواحدة]]</f>
        <v>1250.4543613440001</v>
      </c>
      <c r="M101" s="16" t="s">
        <v>5</v>
      </c>
      <c r="N101" s="18">
        <v>6</v>
      </c>
      <c r="O101" s="19"/>
      <c r="P101" s="18"/>
    </row>
    <row r="102" spans="1:16" s="20" customFormat="1" ht="45" customHeight="1" x14ac:dyDescent="0.2">
      <c r="A102" s="24"/>
      <c r="B102" s="15" t="str">
        <f>IF(الجدول336112[[#This Row],[اسم المسلّم]]="","",ROW()-8)</f>
        <v/>
      </c>
      <c r="C102" s="16"/>
      <c r="D102" s="17" t="s">
        <v>383</v>
      </c>
      <c r="E102" s="16" t="s">
        <v>382</v>
      </c>
      <c r="F102" s="16" t="s">
        <v>385</v>
      </c>
      <c r="G102" s="16" t="s">
        <v>341</v>
      </c>
      <c r="H102" s="16">
        <v>1</v>
      </c>
      <c r="I102" s="16">
        <v>67.7</v>
      </c>
      <c r="J102" s="16">
        <f>الجدول336112[[#This Row],[إفرادي القطعة الواحدة]]*0.2397184</f>
        <v>16.228935679999999</v>
      </c>
      <c r="K102" s="16">
        <f>الجدول336112[[#This Row],[إفرادي القطعة الواحدة]]+الجدول336112[[#This Row],[أجور الشحن للقطعة الواحدة]]</f>
        <v>83.928935679999995</v>
      </c>
      <c r="L102" s="16">
        <f>الجدول336112[[#This Row],[العدد]]*الجدول336112[[#This Row],[إجمالي تكلفة القطعة الواحدة]]</f>
        <v>83.928935679999995</v>
      </c>
      <c r="M102" s="16" t="s">
        <v>5</v>
      </c>
      <c r="N102" s="18">
        <v>6</v>
      </c>
      <c r="O102" s="19"/>
      <c r="P102" s="18"/>
    </row>
    <row r="103" spans="1:16" s="20" customFormat="1" ht="45" customHeight="1" x14ac:dyDescent="0.2">
      <c r="A103" s="24"/>
      <c r="B103" s="15" t="str">
        <f>IF(الجدول336112[[#This Row],[اسم المسلّم]]="","",ROW()-8)</f>
        <v/>
      </c>
      <c r="C103" s="16"/>
      <c r="D103" s="17" t="s">
        <v>384</v>
      </c>
      <c r="E103" s="16" t="s">
        <v>379</v>
      </c>
      <c r="F103" s="16" t="s">
        <v>38</v>
      </c>
      <c r="G103" s="16" t="s">
        <v>341</v>
      </c>
      <c r="H103" s="16">
        <v>160</v>
      </c>
      <c r="I103" s="16">
        <v>23.76</v>
      </c>
      <c r="J103" s="16">
        <f>الجدول336112[[#This Row],[إفرادي القطعة الواحدة]]*0.2397184</f>
        <v>5.695709184</v>
      </c>
      <c r="K103" s="16">
        <f>الجدول336112[[#This Row],[إفرادي القطعة الواحدة]]+الجدول336112[[#This Row],[أجور الشحن للقطعة الواحدة]]</f>
        <v>29.455709184</v>
      </c>
      <c r="L103" s="16">
        <f>الجدول336112[[#This Row],[العدد]]*الجدول336112[[#This Row],[إجمالي تكلفة القطعة الواحدة]]</f>
        <v>4712.91346944</v>
      </c>
      <c r="M103" s="16" t="s">
        <v>5</v>
      </c>
      <c r="N103" s="18">
        <v>4</v>
      </c>
      <c r="O103" s="19"/>
      <c r="P103" s="18"/>
    </row>
    <row r="104" spans="1:16" s="20" customFormat="1" ht="45" customHeight="1" x14ac:dyDescent="0.2">
      <c r="A104" s="24"/>
      <c r="B104" s="15" t="str">
        <f>IF(الجدول336112[[#This Row],[اسم المسلّم]]="","",ROW()-8)</f>
        <v/>
      </c>
      <c r="C104" s="16"/>
      <c r="D104" s="17" t="s">
        <v>387</v>
      </c>
      <c r="E104" s="16" t="s">
        <v>382</v>
      </c>
      <c r="F104" s="16" t="s">
        <v>16</v>
      </c>
      <c r="G104" s="16" t="s">
        <v>341</v>
      </c>
      <c r="H104" s="16">
        <v>7</v>
      </c>
      <c r="I104" s="16">
        <v>162.85</v>
      </c>
      <c r="J104" s="16">
        <f>الجدول336112[[#This Row],[إفرادي القطعة الواحدة]]*0.2397184</f>
        <v>39.038141439999997</v>
      </c>
      <c r="K104" s="16">
        <f>الجدول336112[[#This Row],[إفرادي القطعة الواحدة]]+الجدول336112[[#This Row],[أجور الشحن للقطعة الواحدة]]</f>
        <v>201.88814144</v>
      </c>
      <c r="L104" s="16">
        <f>الجدول336112[[#This Row],[العدد]]*الجدول336112[[#This Row],[إجمالي تكلفة القطعة الواحدة]]</f>
        <v>1413.21699008</v>
      </c>
      <c r="M104" s="16" t="s">
        <v>5</v>
      </c>
      <c r="N104" s="18">
        <v>4</v>
      </c>
      <c r="O104" s="19"/>
      <c r="P104" s="18"/>
    </row>
    <row r="105" spans="1:16" s="20" customFormat="1" ht="45" customHeight="1" x14ac:dyDescent="0.2">
      <c r="A105" s="24"/>
      <c r="B105" s="15" t="str">
        <f>IF(الجدول336112[[#This Row],[اسم المسلّم]]="","",ROW()-8)</f>
        <v/>
      </c>
      <c r="C105" s="16"/>
      <c r="D105" s="17" t="s">
        <v>389</v>
      </c>
      <c r="E105" s="16" t="s">
        <v>382</v>
      </c>
      <c r="F105" s="16" t="s">
        <v>388</v>
      </c>
      <c r="G105" s="16" t="s">
        <v>341</v>
      </c>
      <c r="H105" s="16">
        <v>10</v>
      </c>
      <c r="I105" s="16">
        <v>29.91</v>
      </c>
      <c r="J105" s="16">
        <f>الجدول336112[[#This Row],[إفرادي القطعة الواحدة]]*0.2397184</f>
        <v>7.1699773440000003</v>
      </c>
      <c r="K105" s="16">
        <f>الجدول336112[[#This Row],[إفرادي القطعة الواحدة]]+الجدول336112[[#This Row],[أجور الشحن للقطعة الواحدة]]</f>
        <v>37.079977344</v>
      </c>
      <c r="L105" s="16">
        <f>الجدول336112[[#This Row],[العدد]]*الجدول336112[[#This Row],[إجمالي تكلفة القطعة الواحدة]]</f>
        <v>370.79977343999997</v>
      </c>
      <c r="M105" s="16" t="s">
        <v>5</v>
      </c>
      <c r="N105" s="18">
        <v>4</v>
      </c>
      <c r="O105" s="19"/>
      <c r="P105" s="18"/>
    </row>
    <row r="106" spans="1:16" s="20" customFormat="1" ht="45" customHeight="1" x14ac:dyDescent="0.2">
      <c r="A106" s="24"/>
      <c r="B106" s="15" t="str">
        <f>IF(الجدول336112[[#This Row],[اسم المسلّم]]="","",ROW()-8)</f>
        <v/>
      </c>
      <c r="C106" s="16"/>
      <c r="D106" s="17" t="s">
        <v>389</v>
      </c>
      <c r="E106" s="16" t="s">
        <v>382</v>
      </c>
      <c r="F106" s="16" t="s">
        <v>37</v>
      </c>
      <c r="G106" s="16" t="s">
        <v>341</v>
      </c>
      <c r="H106" s="16">
        <v>17</v>
      </c>
      <c r="I106" s="16">
        <v>17.54</v>
      </c>
      <c r="J106" s="16">
        <f>الجدول336112[[#This Row],[إفرادي القطعة الواحدة]]*0.2397184</f>
        <v>4.2046607360000001</v>
      </c>
      <c r="K106" s="16">
        <f>الجدول336112[[#This Row],[إفرادي القطعة الواحدة]]+الجدول336112[[#This Row],[أجور الشحن للقطعة الواحدة]]</f>
        <v>21.744660736</v>
      </c>
      <c r="L106" s="16">
        <f>الجدول336112[[#This Row],[العدد]]*الجدول336112[[#This Row],[إجمالي تكلفة القطعة الواحدة]]</f>
        <v>369.65923251200002</v>
      </c>
      <c r="M106" s="16" t="s">
        <v>5</v>
      </c>
      <c r="N106" s="18">
        <v>4</v>
      </c>
      <c r="O106" s="19"/>
      <c r="P106" s="18"/>
    </row>
    <row r="107" spans="1:16" s="20" customFormat="1" ht="45" customHeight="1" x14ac:dyDescent="0.2">
      <c r="A107" s="24"/>
      <c r="B107" s="15" t="str">
        <f>IF(الجدول336112[[#This Row],[اسم المسلّم]]="","",ROW()-8)</f>
        <v/>
      </c>
      <c r="C107" s="16"/>
      <c r="D107" s="17" t="s">
        <v>381</v>
      </c>
      <c r="E107" s="16" t="s">
        <v>382</v>
      </c>
      <c r="F107" s="16" t="s">
        <v>34</v>
      </c>
      <c r="G107" s="16" t="s">
        <v>341</v>
      </c>
      <c r="H107" s="16">
        <v>11</v>
      </c>
      <c r="I107" s="16">
        <v>20.62</v>
      </c>
      <c r="J107" s="16">
        <f>الجدول336112[[#This Row],[إفرادي القطعة الواحدة]]*0.2397184</f>
        <v>4.9429934080000004</v>
      </c>
      <c r="K107" s="16">
        <f>الجدول336112[[#This Row],[إفرادي القطعة الواحدة]]+الجدول336112[[#This Row],[أجور الشحن للقطعة الواحدة]]</f>
        <v>25.562993408000001</v>
      </c>
      <c r="L107" s="16">
        <f>الجدول336112[[#This Row],[العدد]]*الجدول336112[[#This Row],[إجمالي تكلفة القطعة الواحدة]]</f>
        <v>281.19292748800001</v>
      </c>
      <c r="M107" s="16" t="s">
        <v>5</v>
      </c>
      <c r="N107" s="18">
        <v>4</v>
      </c>
      <c r="O107" s="19"/>
      <c r="P107" s="18"/>
    </row>
    <row r="108" spans="1:16" s="20" customFormat="1" ht="45" customHeight="1" x14ac:dyDescent="0.2">
      <c r="A108" s="24"/>
      <c r="B108" s="15" t="str">
        <f>IF(الجدول336112[[#This Row],[اسم المسلّم]]="","",ROW()-8)</f>
        <v/>
      </c>
      <c r="C108" s="16"/>
      <c r="D108" s="17" t="s">
        <v>381</v>
      </c>
      <c r="E108" s="16" t="s">
        <v>379</v>
      </c>
      <c r="F108" s="16" t="s">
        <v>43</v>
      </c>
      <c r="G108" s="16" t="s">
        <v>341</v>
      </c>
      <c r="H108" s="16">
        <v>4</v>
      </c>
      <c r="I108" s="16">
        <v>19.11</v>
      </c>
      <c r="J108" s="16">
        <f>الجدول336112[[#This Row],[إفرادي القطعة الواحدة]]*0.2397184</f>
        <v>4.5810186239999995</v>
      </c>
      <c r="K108" s="16">
        <f>الجدول336112[[#This Row],[إفرادي القطعة الواحدة]]+الجدول336112[[#This Row],[أجور الشحن للقطعة الواحدة]]</f>
        <v>23.691018623999998</v>
      </c>
      <c r="L108" s="16">
        <f>الجدول336112[[#This Row],[العدد]]*الجدول336112[[#This Row],[إجمالي تكلفة القطعة الواحدة]]</f>
        <v>94.764074495999992</v>
      </c>
      <c r="M108" s="16" t="s">
        <v>5</v>
      </c>
      <c r="N108" s="18">
        <v>4</v>
      </c>
      <c r="O108" s="19"/>
      <c r="P108" s="18"/>
    </row>
    <row r="109" spans="1:16" s="20" customFormat="1" ht="45" customHeight="1" x14ac:dyDescent="0.2">
      <c r="A109" s="24"/>
      <c r="B109" s="15" t="str">
        <f>IF(الجدول336112[[#This Row],[اسم المسلّم]]="","",ROW()-8)</f>
        <v/>
      </c>
      <c r="C109" s="16"/>
      <c r="D109" s="17" t="s">
        <v>390</v>
      </c>
      <c r="E109" s="16" t="s">
        <v>379</v>
      </c>
      <c r="F109" s="16" t="s">
        <v>44</v>
      </c>
      <c r="G109" s="16" t="s">
        <v>341</v>
      </c>
      <c r="H109" s="16">
        <v>7</v>
      </c>
      <c r="I109" s="16">
        <v>34.799999999999997</v>
      </c>
      <c r="J109" s="16">
        <f>الجدول336112[[#This Row],[إفرادي القطعة الواحدة]]*0.2397184</f>
        <v>8.3422003199999999</v>
      </c>
      <c r="K109" s="16">
        <f>الجدول336112[[#This Row],[إفرادي القطعة الواحدة]]+الجدول336112[[#This Row],[أجور الشحن للقطعة الواحدة]]</f>
        <v>43.142200320000001</v>
      </c>
      <c r="L109" s="16">
        <f>الجدول336112[[#This Row],[العدد]]*الجدول336112[[#This Row],[إجمالي تكلفة القطعة الواحدة]]</f>
        <v>301.99540223999998</v>
      </c>
      <c r="M109" s="16" t="s">
        <v>5</v>
      </c>
      <c r="N109" s="18">
        <v>4</v>
      </c>
      <c r="O109" s="19"/>
      <c r="P109" s="18"/>
    </row>
    <row r="110" spans="1:16" s="20" customFormat="1" ht="45" customHeight="1" x14ac:dyDescent="0.2">
      <c r="A110" s="24"/>
      <c r="B110" s="15" t="str">
        <f>IF(الجدول336112[[#This Row],[اسم المسلّم]]="","",ROW()-8)</f>
        <v/>
      </c>
      <c r="C110" s="16"/>
      <c r="D110" s="17" t="s">
        <v>381</v>
      </c>
      <c r="E110" s="16" t="s">
        <v>379</v>
      </c>
      <c r="F110" s="16" t="s">
        <v>39</v>
      </c>
      <c r="G110" s="16" t="s">
        <v>341</v>
      </c>
      <c r="H110" s="16">
        <v>16</v>
      </c>
      <c r="I110" s="16">
        <v>40.08</v>
      </c>
      <c r="J110" s="16">
        <f>الجدول336112[[#This Row],[إفرادي القطعة الواحدة]]*0.2397184</f>
        <v>9.6079134719999999</v>
      </c>
      <c r="K110" s="16">
        <f>الجدول336112[[#This Row],[إفرادي القطعة الواحدة]]+الجدول336112[[#This Row],[أجور الشحن للقطعة الواحدة]]</f>
        <v>49.687913471999998</v>
      </c>
      <c r="L110" s="16">
        <f>الجدول336112[[#This Row],[العدد]]*الجدول336112[[#This Row],[إجمالي تكلفة القطعة الواحدة]]</f>
        <v>795.00661555199997</v>
      </c>
      <c r="M110" s="16" t="s">
        <v>5</v>
      </c>
      <c r="N110" s="18">
        <v>4</v>
      </c>
      <c r="O110" s="19"/>
      <c r="P110" s="18"/>
    </row>
    <row r="111" spans="1:16" s="20" customFormat="1" ht="45" customHeight="1" x14ac:dyDescent="0.2">
      <c r="A111" s="24"/>
      <c r="B111" s="15" t="str">
        <f>IF(الجدول336112[[#This Row],[اسم المسلّم]]="","",ROW()-8)</f>
        <v/>
      </c>
      <c r="C111" s="16"/>
      <c r="D111" s="17" t="s">
        <v>390</v>
      </c>
      <c r="E111" s="16" t="s">
        <v>379</v>
      </c>
      <c r="F111" s="16" t="s">
        <v>40</v>
      </c>
      <c r="G111" s="16" t="s">
        <v>341</v>
      </c>
      <c r="H111" s="16">
        <v>170</v>
      </c>
      <c r="I111" s="16">
        <v>15.24</v>
      </c>
      <c r="J111" s="16">
        <f>الجدول336112[[#This Row],[إفرادي القطعة الواحدة]]*0.2397184</f>
        <v>3.6533084160000002</v>
      </c>
      <c r="K111" s="16">
        <f>الجدول336112[[#This Row],[إفرادي القطعة الواحدة]]+الجدول336112[[#This Row],[أجور الشحن للقطعة الواحدة]]</f>
        <v>18.893308416</v>
      </c>
      <c r="L111" s="16">
        <f>الجدول336112[[#This Row],[العدد]]*الجدول336112[[#This Row],[إجمالي تكلفة القطعة الواحدة]]</f>
        <v>3211.8624307199998</v>
      </c>
      <c r="M111" s="16" t="s">
        <v>5</v>
      </c>
      <c r="N111" s="18">
        <v>5</v>
      </c>
      <c r="O111" s="19"/>
      <c r="P111" s="18"/>
    </row>
    <row r="112" spans="1:16" s="20" customFormat="1" ht="45" customHeight="1" x14ac:dyDescent="0.2">
      <c r="A112" s="24"/>
      <c r="B112" s="15" t="str">
        <f>IF(الجدول336112[[#This Row],[اسم المسلّم]]="","",ROW()-8)</f>
        <v/>
      </c>
      <c r="C112" s="16"/>
      <c r="D112" s="17" t="s">
        <v>391</v>
      </c>
      <c r="E112" s="16" t="s">
        <v>382</v>
      </c>
      <c r="F112" s="16" t="s">
        <v>14</v>
      </c>
      <c r="G112" s="16" t="s">
        <v>341</v>
      </c>
      <c r="H112" s="16">
        <v>8</v>
      </c>
      <c r="I112" s="16">
        <v>147.38</v>
      </c>
      <c r="J112" s="16">
        <f>الجدول336112[[#This Row],[إفرادي القطعة الواحدة]]*0.2397184</f>
        <v>35.329697791999997</v>
      </c>
      <c r="K112" s="16">
        <f>الجدول336112[[#This Row],[إفرادي القطعة الواحدة]]+الجدول336112[[#This Row],[أجور الشحن للقطعة الواحدة]]</f>
        <v>182.70969779199999</v>
      </c>
      <c r="L112" s="16">
        <f>الجدول336112[[#This Row],[العدد]]*الجدول336112[[#This Row],[إجمالي تكلفة القطعة الواحدة]]</f>
        <v>1461.6775823359999</v>
      </c>
      <c r="M112" s="16" t="s">
        <v>5</v>
      </c>
      <c r="N112" s="18">
        <v>5</v>
      </c>
      <c r="O112" s="19"/>
      <c r="P112" s="18"/>
    </row>
    <row r="113" spans="1:16" s="20" customFormat="1" ht="45" customHeight="1" x14ac:dyDescent="0.2">
      <c r="A113" s="24"/>
      <c r="B113" s="15" t="str">
        <f>IF(الجدول336112[[#This Row],[اسم المسلّم]]="","",ROW()-8)</f>
        <v/>
      </c>
      <c r="C113" s="16"/>
      <c r="D113" s="17" t="s">
        <v>389</v>
      </c>
      <c r="E113" s="16" t="s">
        <v>382</v>
      </c>
      <c r="F113" s="16" t="s">
        <v>32</v>
      </c>
      <c r="G113" s="16" t="s">
        <v>341</v>
      </c>
      <c r="H113" s="16">
        <v>3</v>
      </c>
      <c r="I113" s="16">
        <v>15.39</v>
      </c>
      <c r="J113" s="16">
        <f>الجدول336112[[#This Row],[إفرادي القطعة الواحدة]]*0.2397184</f>
        <v>3.6892661760000003</v>
      </c>
      <c r="K113" s="16">
        <f>الجدول336112[[#This Row],[إفرادي القطعة الواحدة]]+الجدول336112[[#This Row],[أجور الشحن للقطعة الواحدة]]</f>
        <v>19.079266176000001</v>
      </c>
      <c r="L113" s="16">
        <f>الجدول336112[[#This Row],[العدد]]*الجدول336112[[#This Row],[إجمالي تكلفة القطعة الواحدة]]</f>
        <v>57.237798527999999</v>
      </c>
      <c r="M113" s="16" t="s">
        <v>5</v>
      </c>
      <c r="N113" s="18">
        <v>5</v>
      </c>
      <c r="O113" s="19"/>
      <c r="P113" s="18"/>
    </row>
    <row r="114" spans="1:16" s="20" customFormat="1" ht="45" customHeight="1" x14ac:dyDescent="0.2">
      <c r="A114" s="24"/>
      <c r="B114" s="15" t="str">
        <f>IF(الجدول336112[[#This Row],[اسم المسلّم]]="","",ROW()-8)</f>
        <v/>
      </c>
      <c r="C114" s="16"/>
      <c r="D114" s="17" t="s">
        <v>413</v>
      </c>
      <c r="E114" s="16" t="s">
        <v>412</v>
      </c>
      <c r="F114" s="16" t="s">
        <v>405</v>
      </c>
      <c r="G114" s="16" t="s">
        <v>341</v>
      </c>
      <c r="H114" s="16">
        <v>100</v>
      </c>
      <c r="I114" s="16">
        <v>13.2</v>
      </c>
      <c r="J114" s="16">
        <f>الجدول336112[[#This Row],[إفرادي القطعة الواحدة]]*0.2397184</f>
        <v>3.16428288</v>
      </c>
      <c r="K114" s="16">
        <f>الجدول336112[[#This Row],[إفرادي القطعة الواحدة]]+الجدول336112[[#This Row],[أجور الشحن للقطعة الواحدة]]</f>
        <v>16.364282879999998</v>
      </c>
      <c r="L114" s="16">
        <f>الجدول336112[[#This Row],[العدد]]*الجدول336112[[#This Row],[إجمالي تكلفة القطعة الواحدة]]</f>
        <v>1636.4282879999998</v>
      </c>
      <c r="M114" s="16" t="s">
        <v>5</v>
      </c>
      <c r="N114" s="18">
        <v>23</v>
      </c>
      <c r="O114" s="19"/>
      <c r="P114" s="18"/>
    </row>
    <row r="115" spans="1:16" s="20" customFormat="1" ht="45" customHeight="1" x14ac:dyDescent="0.2">
      <c r="A115" s="24"/>
      <c r="B115" s="15" t="str">
        <f>IF(الجدول336112[[#This Row],[اسم المسلّم]]="","",ROW()-8)</f>
        <v/>
      </c>
      <c r="C115" s="16"/>
      <c r="D115" s="17" t="s">
        <v>413</v>
      </c>
      <c r="E115" s="16" t="s">
        <v>412</v>
      </c>
      <c r="F115" s="16" t="s">
        <v>406</v>
      </c>
      <c r="G115" s="16" t="s">
        <v>341</v>
      </c>
      <c r="H115" s="16">
        <v>4</v>
      </c>
      <c r="I115" s="16">
        <v>13.2</v>
      </c>
      <c r="J115" s="16">
        <f>الجدول336112[[#This Row],[إفرادي القطعة الواحدة]]*0.2397184</f>
        <v>3.16428288</v>
      </c>
      <c r="K115" s="16">
        <f>الجدول336112[[#This Row],[إفرادي القطعة الواحدة]]+الجدول336112[[#This Row],[أجور الشحن للقطعة الواحدة]]</f>
        <v>16.364282879999998</v>
      </c>
      <c r="L115" s="16">
        <f>الجدول336112[[#This Row],[العدد]]*الجدول336112[[#This Row],[إجمالي تكلفة القطعة الواحدة]]</f>
        <v>65.45713151999999</v>
      </c>
      <c r="M115" s="16" t="s">
        <v>5</v>
      </c>
      <c r="N115" s="18">
        <v>23</v>
      </c>
      <c r="O115" s="19"/>
      <c r="P115" s="18"/>
    </row>
    <row r="116" spans="1:16" s="20" customFormat="1" ht="45" customHeight="1" x14ac:dyDescent="0.2">
      <c r="A116" s="24"/>
      <c r="B116" s="15" t="str">
        <f>IF(الجدول336112[[#This Row],[اسم المسلّم]]="","",ROW()-8)</f>
        <v/>
      </c>
      <c r="C116" s="16"/>
      <c r="D116" s="17" t="s">
        <v>413</v>
      </c>
      <c r="E116" s="16" t="s">
        <v>412</v>
      </c>
      <c r="F116" s="16" t="s">
        <v>407</v>
      </c>
      <c r="G116" s="16" t="s">
        <v>341</v>
      </c>
      <c r="H116" s="16">
        <v>18</v>
      </c>
      <c r="I116" s="16">
        <v>9.41</v>
      </c>
      <c r="J116" s="16">
        <f>الجدول336112[[#This Row],[إفرادي القطعة الواحدة]]*0.2397184</f>
        <v>2.2557501439999998</v>
      </c>
      <c r="K116" s="16">
        <f>الجدول336112[[#This Row],[إفرادي القطعة الواحدة]]+الجدول336112[[#This Row],[أجور الشحن للقطعة الواحدة]]</f>
        <v>11.665750144</v>
      </c>
      <c r="L116" s="16">
        <f>الجدول336112[[#This Row],[العدد]]*الجدول336112[[#This Row],[إجمالي تكلفة القطعة الواحدة]]</f>
        <v>209.98350259200001</v>
      </c>
      <c r="M116" s="16" t="s">
        <v>5</v>
      </c>
      <c r="N116" s="18">
        <v>23</v>
      </c>
      <c r="O116" s="19"/>
      <c r="P116" s="18"/>
    </row>
    <row r="117" spans="1:16" s="20" customFormat="1" ht="45" customHeight="1" x14ac:dyDescent="0.2">
      <c r="A117" s="24"/>
      <c r="B117" s="15" t="str">
        <f>IF(الجدول336112[[#This Row],[اسم المسلّم]]="","",ROW()-8)</f>
        <v/>
      </c>
      <c r="C117" s="16"/>
      <c r="D117" s="17" t="s">
        <v>413</v>
      </c>
      <c r="E117" s="16" t="s">
        <v>412</v>
      </c>
      <c r="F117" s="16" t="s">
        <v>408</v>
      </c>
      <c r="G117" s="16" t="s">
        <v>341</v>
      </c>
      <c r="H117" s="16">
        <v>50</v>
      </c>
      <c r="I117" s="16">
        <v>9.31</v>
      </c>
      <c r="J117" s="16">
        <f>الجدول336112[[#This Row],[إفرادي القطعة الواحدة]]*0.2397184</f>
        <v>2.2317783040000001</v>
      </c>
      <c r="K117" s="16">
        <f>الجدول336112[[#This Row],[إفرادي القطعة الواحدة]]+الجدول336112[[#This Row],[أجور الشحن للقطعة الواحدة]]</f>
        <v>11.541778304000001</v>
      </c>
      <c r="L117" s="16">
        <f>الجدول336112[[#This Row],[العدد]]*الجدول336112[[#This Row],[إجمالي تكلفة القطعة الواحدة]]</f>
        <v>577.08891520000009</v>
      </c>
      <c r="M117" s="16" t="s">
        <v>5</v>
      </c>
      <c r="N117" s="18">
        <v>23</v>
      </c>
      <c r="O117" s="19"/>
      <c r="P117" s="18"/>
    </row>
    <row r="118" spans="1:16" s="20" customFormat="1" ht="45" customHeight="1" x14ac:dyDescent="0.2">
      <c r="A118" s="24"/>
      <c r="B118" s="15" t="str">
        <f>IF(الجدول336112[[#This Row],[اسم المسلّم]]="","",ROW()-8)</f>
        <v/>
      </c>
      <c r="C118" s="16"/>
      <c r="D118" s="17" t="s">
        <v>413</v>
      </c>
      <c r="E118" s="16" t="s">
        <v>412</v>
      </c>
      <c r="F118" s="16" t="s">
        <v>409</v>
      </c>
      <c r="G118" s="16" t="s">
        <v>341</v>
      </c>
      <c r="H118" s="16">
        <v>20</v>
      </c>
      <c r="I118" s="16">
        <v>9.31</v>
      </c>
      <c r="J118" s="16">
        <f>الجدول336112[[#This Row],[إفرادي القطعة الواحدة]]*0.2397184</f>
        <v>2.2317783040000001</v>
      </c>
      <c r="K118" s="16">
        <f>الجدول336112[[#This Row],[إفرادي القطعة الواحدة]]+الجدول336112[[#This Row],[أجور الشحن للقطعة الواحدة]]</f>
        <v>11.541778304000001</v>
      </c>
      <c r="L118" s="16">
        <f>الجدول336112[[#This Row],[العدد]]*الجدول336112[[#This Row],[إجمالي تكلفة القطعة الواحدة]]</f>
        <v>230.83556608000004</v>
      </c>
      <c r="M118" s="16" t="s">
        <v>5</v>
      </c>
      <c r="N118" s="18">
        <v>23</v>
      </c>
      <c r="O118" s="19"/>
      <c r="P118" s="18"/>
    </row>
    <row r="119" spans="1:16" s="20" customFormat="1" ht="45" customHeight="1" x14ac:dyDescent="0.2">
      <c r="A119" s="24"/>
      <c r="B119" s="15" t="str">
        <f>IF(الجدول336112[[#This Row],[اسم المسلّم]]="","",ROW()-8)</f>
        <v/>
      </c>
      <c r="C119" s="16"/>
      <c r="D119" s="17" t="s">
        <v>413</v>
      </c>
      <c r="E119" s="16" t="s">
        <v>412</v>
      </c>
      <c r="F119" s="16" t="s">
        <v>410</v>
      </c>
      <c r="G119" s="16" t="s">
        <v>341</v>
      </c>
      <c r="H119" s="16">
        <v>8</v>
      </c>
      <c r="I119" s="16">
        <v>8.93</v>
      </c>
      <c r="J119" s="16">
        <f>الجدول336112[[#This Row],[إفرادي القطعة الواحدة]]*0.2397184</f>
        <v>2.140685312</v>
      </c>
      <c r="K119" s="16">
        <f>الجدول336112[[#This Row],[إفرادي القطعة الواحدة]]+الجدول336112[[#This Row],[أجور الشحن للقطعة الواحدة]]</f>
        <v>11.070685312</v>
      </c>
      <c r="L119" s="16">
        <f>الجدول336112[[#This Row],[العدد]]*الجدول336112[[#This Row],[إجمالي تكلفة القطعة الواحدة]]</f>
        <v>88.565482496000001</v>
      </c>
      <c r="M119" s="16" t="s">
        <v>5</v>
      </c>
      <c r="N119" s="18">
        <v>23</v>
      </c>
      <c r="O119" s="19"/>
      <c r="P119" s="18"/>
    </row>
    <row r="120" spans="1:16" s="20" customFormat="1" ht="45" customHeight="1" x14ac:dyDescent="0.2">
      <c r="A120" s="24"/>
      <c r="B120" s="15" t="str">
        <f>IF(الجدول336112[[#This Row],[اسم المسلّم]]="","",ROW()-8)</f>
        <v/>
      </c>
      <c r="C120" s="16"/>
      <c r="D120" s="17" t="s">
        <v>413</v>
      </c>
      <c r="E120" s="16" t="s">
        <v>412</v>
      </c>
      <c r="F120" s="16" t="s">
        <v>411</v>
      </c>
      <c r="G120" s="16" t="s">
        <v>341</v>
      </c>
      <c r="H120" s="16">
        <v>8</v>
      </c>
      <c r="I120" s="16">
        <v>9.31</v>
      </c>
      <c r="J120" s="16">
        <f>الجدول336112[[#This Row],[إفرادي القطعة الواحدة]]*0.2397184</f>
        <v>2.2317783040000001</v>
      </c>
      <c r="K120" s="16">
        <f>الجدول336112[[#This Row],[إفرادي القطعة الواحدة]]+الجدول336112[[#This Row],[أجور الشحن للقطعة الواحدة]]</f>
        <v>11.541778304000001</v>
      </c>
      <c r="L120" s="16">
        <f>الجدول336112[[#This Row],[العدد]]*الجدول336112[[#This Row],[إجمالي تكلفة القطعة الواحدة]]</f>
        <v>92.334226432000008</v>
      </c>
      <c r="M120" s="16" t="s">
        <v>5</v>
      </c>
      <c r="N120" s="18">
        <v>23</v>
      </c>
      <c r="O120" s="19"/>
      <c r="P120" s="18"/>
    </row>
    <row r="121" spans="1:16" s="20" customFormat="1" ht="45" customHeight="1" x14ac:dyDescent="0.2">
      <c r="A121" s="24"/>
      <c r="B121" s="15" t="str">
        <f>IF(الجدول336112[[#This Row],[اسم المسلّم]]="","",ROW()-8)</f>
        <v/>
      </c>
      <c r="C121" s="16"/>
      <c r="D121" s="17" t="s">
        <v>415</v>
      </c>
      <c r="E121" s="16" t="s">
        <v>307</v>
      </c>
      <c r="F121" s="16" t="s">
        <v>414</v>
      </c>
      <c r="G121" s="16" t="s">
        <v>341</v>
      </c>
      <c r="H121" s="16">
        <v>1000</v>
      </c>
      <c r="I121" s="16">
        <v>0</v>
      </c>
      <c r="J121" s="16">
        <f>الجدول336112[[#This Row],[إفرادي القطعة الواحدة]]*0.2397184</f>
        <v>0</v>
      </c>
      <c r="K121" s="16">
        <f>الجدول336112[[#This Row],[إفرادي القطعة الواحدة]]+الجدول336112[[#This Row],[أجور الشحن للقطعة الواحدة]]</f>
        <v>0</v>
      </c>
      <c r="L121" s="16">
        <f>الجدول336112[[#This Row],[العدد]]*الجدول336112[[#This Row],[إجمالي تكلفة القطعة الواحدة]]</f>
        <v>0</v>
      </c>
      <c r="M121" s="16" t="s">
        <v>5</v>
      </c>
      <c r="N121" s="18">
        <v>13</v>
      </c>
      <c r="O121" s="19"/>
      <c r="P121" s="18"/>
    </row>
    <row r="122" spans="1:16" s="20" customFormat="1" ht="45" customHeight="1" x14ac:dyDescent="0.2">
      <c r="A122" s="24"/>
      <c r="B122" s="15" t="str">
        <f>IF(الجدول336112[[#This Row],[اسم المسلّم]]="","",ROW()-8)</f>
        <v/>
      </c>
      <c r="C122" s="16"/>
      <c r="D122" s="17" t="s">
        <v>427</v>
      </c>
      <c r="E122" s="16" t="s">
        <v>426</v>
      </c>
      <c r="F122" s="16" t="s">
        <v>428</v>
      </c>
      <c r="G122" s="16" t="s">
        <v>341</v>
      </c>
      <c r="H122" s="16">
        <v>1920</v>
      </c>
      <c r="I122" s="16">
        <v>0</v>
      </c>
      <c r="J122" s="16">
        <f>الجدول336112[[#This Row],[إفرادي القطعة الواحدة]]*0.2397184</f>
        <v>0</v>
      </c>
      <c r="K122" s="16">
        <f>الجدول336112[[#This Row],[إفرادي القطعة الواحدة]]+الجدول336112[[#This Row],[أجور الشحن للقطعة الواحدة]]</f>
        <v>0</v>
      </c>
      <c r="L122" s="16">
        <f>الجدول336112[[#This Row],[العدد]]*الجدول336112[[#This Row],[إجمالي تكلفة القطعة الواحدة]]</f>
        <v>0</v>
      </c>
      <c r="M122" s="16" t="s">
        <v>5</v>
      </c>
      <c r="N122" s="18">
        <v>23</v>
      </c>
      <c r="O122" s="19"/>
      <c r="P122" s="18"/>
    </row>
    <row r="123" spans="1:16" s="20" customFormat="1" ht="45" customHeight="1" x14ac:dyDescent="0.2">
      <c r="A123" s="24"/>
      <c r="B123" s="15" t="str">
        <f>IF(الجدول336112[[#This Row],[اسم المسلّم]]="","",ROW()-8)</f>
        <v/>
      </c>
      <c r="C123" s="16"/>
      <c r="D123" s="17" t="s">
        <v>427</v>
      </c>
      <c r="E123" s="16" t="s">
        <v>426</v>
      </c>
      <c r="F123" s="16" t="s">
        <v>429</v>
      </c>
      <c r="G123" s="16" t="s">
        <v>341</v>
      </c>
      <c r="H123" s="16">
        <v>10</v>
      </c>
      <c r="I123" s="16">
        <v>3.26</v>
      </c>
      <c r="J123" s="16">
        <f>الجدول336112[[#This Row],[إفرادي القطعة الواحدة]]*0.2397184</f>
        <v>0.78148198399999991</v>
      </c>
      <c r="K123" s="16">
        <f>الجدول336112[[#This Row],[إفرادي القطعة الواحدة]]+الجدول336112[[#This Row],[أجور الشحن للقطعة الواحدة]]</f>
        <v>4.0414819839999998</v>
      </c>
      <c r="L123" s="16">
        <f>الجدول336112[[#This Row],[العدد]]*الجدول336112[[#This Row],[إجمالي تكلفة القطعة الواحدة]]</f>
        <v>40.41481984</v>
      </c>
      <c r="M123" s="16" t="s">
        <v>5</v>
      </c>
      <c r="N123" s="18">
        <v>23</v>
      </c>
      <c r="O123" s="19"/>
      <c r="P123" s="18"/>
    </row>
    <row r="124" spans="1:16" s="20" customFormat="1" ht="45" customHeight="1" x14ac:dyDescent="0.2">
      <c r="A124" s="24"/>
      <c r="B124" s="15" t="str">
        <f>IF(الجدول336112[[#This Row],[اسم المسلّم]]="","",ROW()-8)</f>
        <v/>
      </c>
      <c r="C124" s="16"/>
      <c r="D124" s="17" t="s">
        <v>427</v>
      </c>
      <c r="E124" s="16" t="s">
        <v>426</v>
      </c>
      <c r="F124" s="16" t="s">
        <v>430</v>
      </c>
      <c r="G124" s="16" t="s">
        <v>341</v>
      </c>
      <c r="H124" s="16">
        <v>50</v>
      </c>
      <c r="I124" s="16">
        <v>3.26</v>
      </c>
      <c r="J124" s="16">
        <f>الجدول336112[[#This Row],[إفرادي القطعة الواحدة]]*0.2397184</f>
        <v>0.78148198399999991</v>
      </c>
      <c r="K124" s="16">
        <f>الجدول336112[[#This Row],[إفرادي القطعة الواحدة]]+الجدول336112[[#This Row],[أجور الشحن للقطعة الواحدة]]</f>
        <v>4.0414819839999998</v>
      </c>
      <c r="L124" s="16">
        <f>الجدول336112[[#This Row],[العدد]]*الجدول336112[[#This Row],[إجمالي تكلفة القطعة الواحدة]]</f>
        <v>202.07409919999998</v>
      </c>
      <c r="M124" s="16" t="s">
        <v>5</v>
      </c>
      <c r="N124" s="18">
        <v>23</v>
      </c>
      <c r="O124" s="19"/>
      <c r="P124" s="18"/>
    </row>
    <row r="125" spans="1:16" s="20" customFormat="1" ht="45" customHeight="1" x14ac:dyDescent="0.2">
      <c r="A125" s="24"/>
      <c r="B125" s="15" t="str">
        <f>IF(الجدول336112[[#This Row],[اسم المسلّم]]="","",ROW()-8)</f>
        <v/>
      </c>
      <c r="C125" s="16"/>
      <c r="D125" s="17" t="s">
        <v>427</v>
      </c>
      <c r="E125" s="16" t="s">
        <v>426</v>
      </c>
      <c r="F125" s="16" t="s">
        <v>431</v>
      </c>
      <c r="G125" s="16" t="s">
        <v>341</v>
      </c>
      <c r="H125" s="16">
        <v>25</v>
      </c>
      <c r="I125" s="16">
        <v>2.68</v>
      </c>
      <c r="J125" s="16">
        <f>الجدول336112[[#This Row],[إفرادي القطعة الواحدة]]*0.2397184</f>
        <v>0.64244531199999999</v>
      </c>
      <c r="K125" s="16">
        <f>الجدول336112[[#This Row],[إفرادي القطعة الواحدة]]+الجدول336112[[#This Row],[أجور الشحن للقطعة الواحدة]]</f>
        <v>3.3224453120000002</v>
      </c>
      <c r="L125" s="16">
        <f>الجدول336112[[#This Row],[العدد]]*الجدول336112[[#This Row],[إجمالي تكلفة القطعة الواحدة]]</f>
        <v>83.06113280000001</v>
      </c>
      <c r="M125" s="16" t="s">
        <v>5</v>
      </c>
      <c r="N125" s="18">
        <v>23</v>
      </c>
      <c r="O125" s="19"/>
      <c r="P125" s="18"/>
    </row>
    <row r="126" spans="1:16" s="20" customFormat="1" ht="45" customHeight="1" x14ac:dyDescent="0.2">
      <c r="A126" s="24"/>
      <c r="B126" s="15" t="str">
        <f>IF(الجدول336112[[#This Row],[اسم المسلّم]]="","",ROW()-8)</f>
        <v/>
      </c>
      <c r="C126" s="16"/>
      <c r="D126" s="17" t="s">
        <v>427</v>
      </c>
      <c r="E126" s="16" t="s">
        <v>426</v>
      </c>
      <c r="F126" s="16" t="s">
        <v>432</v>
      </c>
      <c r="G126" s="16" t="s">
        <v>341</v>
      </c>
      <c r="H126" s="16">
        <v>9</v>
      </c>
      <c r="I126" s="16">
        <v>28.13</v>
      </c>
      <c r="J126" s="16">
        <f>الجدول336112[[#This Row],[إفرادي القطعة الواحدة]]*0.2397184</f>
        <v>6.7432785919999993</v>
      </c>
      <c r="K126" s="16">
        <f>الجدول336112[[#This Row],[إفرادي القطعة الواحدة]]+الجدول336112[[#This Row],[أجور الشحن للقطعة الواحدة]]</f>
        <v>34.873278591999998</v>
      </c>
      <c r="L126" s="16">
        <f>الجدول336112[[#This Row],[العدد]]*الجدول336112[[#This Row],[إجمالي تكلفة القطعة الواحدة]]</f>
        <v>313.85950732800001</v>
      </c>
      <c r="M126" s="16" t="s">
        <v>5</v>
      </c>
      <c r="N126" s="18">
        <v>23</v>
      </c>
      <c r="O126" s="19"/>
      <c r="P126" s="18"/>
    </row>
    <row r="127" spans="1:16" s="20" customFormat="1" ht="45" customHeight="1" x14ac:dyDescent="0.2">
      <c r="A127" s="24"/>
      <c r="B127" s="15" t="str">
        <f>IF(الجدول336112[[#This Row],[اسم المسلّم]]="","",ROW()-8)</f>
        <v/>
      </c>
      <c r="C127" s="16"/>
      <c r="D127" s="17" t="s">
        <v>427</v>
      </c>
      <c r="E127" s="16" t="s">
        <v>426</v>
      </c>
      <c r="F127" s="16" t="s">
        <v>433</v>
      </c>
      <c r="G127" s="16" t="s">
        <v>341</v>
      </c>
      <c r="H127" s="16">
        <v>40</v>
      </c>
      <c r="I127" s="16">
        <v>3.2</v>
      </c>
      <c r="J127" s="16">
        <f>الجدول336112[[#This Row],[إفرادي القطعة الواحدة]]*0.2397184</f>
        <v>0.76709888000000004</v>
      </c>
      <c r="K127" s="16">
        <f>الجدول336112[[#This Row],[إفرادي القطعة الواحدة]]+الجدول336112[[#This Row],[أجور الشحن للقطعة الواحدة]]</f>
        <v>3.96709888</v>
      </c>
      <c r="L127" s="16">
        <f>الجدول336112[[#This Row],[العدد]]*الجدول336112[[#This Row],[إجمالي تكلفة القطعة الواحدة]]</f>
        <v>158.68395520000001</v>
      </c>
      <c r="M127" s="16" t="s">
        <v>5</v>
      </c>
      <c r="N127" s="18">
        <v>23</v>
      </c>
      <c r="O127" s="19"/>
      <c r="P127" s="18"/>
    </row>
    <row r="128" spans="1:16" s="20" customFormat="1" ht="45" customHeight="1" x14ac:dyDescent="0.2">
      <c r="A128" s="24"/>
      <c r="B128" s="15" t="str">
        <f>IF(الجدول336112[[#This Row],[اسم المسلّم]]="","",ROW()-8)</f>
        <v/>
      </c>
      <c r="C128" s="16"/>
      <c r="D128" s="17" t="s">
        <v>427</v>
      </c>
      <c r="E128" s="16" t="s">
        <v>426</v>
      </c>
      <c r="F128" s="16" t="s">
        <v>434</v>
      </c>
      <c r="G128" s="16" t="s">
        <v>341</v>
      </c>
      <c r="H128" s="16">
        <v>35</v>
      </c>
      <c r="I128" s="16">
        <v>3.4</v>
      </c>
      <c r="J128" s="16">
        <f>الجدول336112[[#This Row],[إفرادي القطعة الواحدة]]*0.2397184</f>
        <v>0.81504255999999997</v>
      </c>
      <c r="K128" s="16">
        <f>الجدول336112[[#This Row],[إفرادي القطعة الواحدة]]+الجدول336112[[#This Row],[أجور الشحن للقطعة الواحدة]]</f>
        <v>4.2150425599999997</v>
      </c>
      <c r="L128" s="16">
        <f>الجدول336112[[#This Row],[العدد]]*الجدول336112[[#This Row],[إجمالي تكلفة القطعة الواحدة]]</f>
        <v>147.52648959999999</v>
      </c>
      <c r="M128" s="16" t="s">
        <v>5</v>
      </c>
      <c r="N128" s="18">
        <v>23</v>
      </c>
      <c r="O128" s="19"/>
      <c r="P128" s="18"/>
    </row>
    <row r="129" spans="1:16" s="20" customFormat="1" ht="45" customHeight="1" x14ac:dyDescent="0.2">
      <c r="A129" s="24"/>
      <c r="B129" s="15" t="str">
        <f>IF(الجدول336112[[#This Row],[اسم المسلّم]]="","",ROW()-8)</f>
        <v/>
      </c>
      <c r="C129" s="16"/>
      <c r="D129" s="17" t="s">
        <v>427</v>
      </c>
      <c r="E129" s="16" t="s">
        <v>426</v>
      </c>
      <c r="F129" s="16" t="s">
        <v>435</v>
      </c>
      <c r="G129" s="16" t="s">
        <v>341</v>
      </c>
      <c r="H129" s="16">
        <v>50</v>
      </c>
      <c r="I129" s="16">
        <v>3.65</v>
      </c>
      <c r="J129" s="16">
        <f>الجدول336112[[#This Row],[إفرادي القطعة الواحدة]]*0.2397184</f>
        <v>0.87497216</v>
      </c>
      <c r="K129" s="16">
        <f>الجدول336112[[#This Row],[إفرادي القطعة الواحدة]]+الجدول336112[[#This Row],[أجور الشحن للقطعة الواحدة]]</f>
        <v>4.5249721599999999</v>
      </c>
      <c r="L129" s="16">
        <f>الجدول336112[[#This Row],[العدد]]*الجدول336112[[#This Row],[إجمالي تكلفة القطعة الواحدة]]</f>
        <v>226.24860799999999</v>
      </c>
      <c r="M129" s="16" t="s">
        <v>5</v>
      </c>
      <c r="N129" s="18">
        <v>23</v>
      </c>
      <c r="O129" s="19"/>
      <c r="P129" s="18"/>
    </row>
    <row r="130" spans="1:16" s="20" customFormat="1" ht="45" customHeight="1" x14ac:dyDescent="0.2">
      <c r="A130" s="24"/>
      <c r="B130" s="15" t="str">
        <f>IF(الجدول336112[[#This Row],[اسم المسلّم]]="","",ROW()-8)</f>
        <v/>
      </c>
      <c r="C130" s="16"/>
      <c r="D130" s="17" t="s">
        <v>427</v>
      </c>
      <c r="E130" s="16" t="s">
        <v>426</v>
      </c>
      <c r="F130" s="16" t="s">
        <v>417</v>
      </c>
      <c r="G130" s="16" t="s">
        <v>341</v>
      </c>
      <c r="H130" s="16">
        <v>30</v>
      </c>
      <c r="I130" s="16">
        <v>1.84</v>
      </c>
      <c r="J130" s="16">
        <f>الجدول336112[[#This Row],[إفرادي القطعة الواحدة]]*0.2397184</f>
        <v>0.44108185599999999</v>
      </c>
      <c r="K130" s="16">
        <f>الجدول336112[[#This Row],[إفرادي القطعة الواحدة]]+الجدول336112[[#This Row],[أجور الشحن للقطعة الواحدة]]</f>
        <v>2.2810818560000001</v>
      </c>
      <c r="L130" s="16">
        <f>الجدول336112[[#This Row],[العدد]]*الجدول336112[[#This Row],[إجمالي تكلفة القطعة الواحدة]]</f>
        <v>68.432455680000004</v>
      </c>
      <c r="M130" s="16" t="s">
        <v>5</v>
      </c>
      <c r="N130" s="18">
        <v>23</v>
      </c>
      <c r="O130" s="19"/>
      <c r="P130" s="18"/>
    </row>
    <row r="131" spans="1:16" s="20" customFormat="1" ht="45" customHeight="1" x14ac:dyDescent="0.2">
      <c r="A131" s="24"/>
      <c r="B131" s="15" t="str">
        <f>IF(الجدول336112[[#This Row],[اسم المسلّم]]="","",ROW()-8)</f>
        <v/>
      </c>
      <c r="C131" s="16"/>
      <c r="D131" s="17" t="s">
        <v>427</v>
      </c>
      <c r="E131" s="16" t="s">
        <v>426</v>
      </c>
      <c r="F131" s="16" t="s">
        <v>418</v>
      </c>
      <c r="G131" s="16" t="s">
        <v>341</v>
      </c>
      <c r="H131" s="16">
        <v>30</v>
      </c>
      <c r="I131" s="16">
        <v>2.23</v>
      </c>
      <c r="J131" s="16">
        <f>الجدول336112[[#This Row],[إفرادي القطعة الواحدة]]*0.2397184</f>
        <v>0.53457203200000003</v>
      </c>
      <c r="K131" s="16">
        <f>الجدول336112[[#This Row],[إفرادي القطعة الواحدة]]+الجدول336112[[#This Row],[أجور الشحن للقطعة الواحدة]]</f>
        <v>2.7645720320000002</v>
      </c>
      <c r="L131" s="16">
        <f>الجدول336112[[#This Row],[العدد]]*الجدول336112[[#This Row],[إجمالي تكلفة القطعة الواحدة]]</f>
        <v>82.93716096</v>
      </c>
      <c r="M131" s="16" t="s">
        <v>5</v>
      </c>
      <c r="N131" s="18">
        <v>23</v>
      </c>
      <c r="O131" s="19"/>
      <c r="P131" s="18"/>
    </row>
    <row r="132" spans="1:16" s="20" customFormat="1" ht="45" customHeight="1" x14ac:dyDescent="0.2">
      <c r="A132" s="24"/>
      <c r="B132" s="15" t="str">
        <f>IF(الجدول336112[[#This Row],[اسم المسلّم]]="","",ROW()-8)</f>
        <v/>
      </c>
      <c r="C132" s="16"/>
      <c r="D132" s="17" t="s">
        <v>427</v>
      </c>
      <c r="E132" s="16" t="s">
        <v>426</v>
      </c>
      <c r="F132" s="16" t="s">
        <v>419</v>
      </c>
      <c r="G132" s="16" t="s">
        <v>341</v>
      </c>
      <c r="H132" s="16">
        <v>50</v>
      </c>
      <c r="I132" s="16">
        <v>2.68</v>
      </c>
      <c r="J132" s="16">
        <f>الجدول336112[[#This Row],[إفرادي القطعة الواحدة]]*0.2397184</f>
        <v>0.64244531199999999</v>
      </c>
      <c r="K132" s="16">
        <f>الجدول336112[[#This Row],[إفرادي القطعة الواحدة]]+الجدول336112[[#This Row],[أجور الشحن للقطعة الواحدة]]</f>
        <v>3.3224453120000002</v>
      </c>
      <c r="L132" s="16">
        <f>الجدول336112[[#This Row],[العدد]]*الجدول336112[[#This Row],[إجمالي تكلفة القطعة الواحدة]]</f>
        <v>166.12226560000002</v>
      </c>
      <c r="M132" s="16" t="s">
        <v>5</v>
      </c>
      <c r="N132" s="18">
        <v>23</v>
      </c>
      <c r="O132" s="19"/>
      <c r="P132" s="18"/>
    </row>
    <row r="133" spans="1:16" s="20" customFormat="1" ht="45" customHeight="1" x14ac:dyDescent="0.2">
      <c r="A133" s="24"/>
      <c r="B133" s="15" t="str">
        <f>IF(الجدول336112[[#This Row],[اسم المسلّم]]="","",ROW()-8)</f>
        <v/>
      </c>
      <c r="C133" s="16"/>
      <c r="D133" s="17" t="s">
        <v>427</v>
      </c>
      <c r="E133" s="16" t="s">
        <v>426</v>
      </c>
      <c r="F133" s="16" t="s">
        <v>420</v>
      </c>
      <c r="G133" s="16" t="s">
        <v>341</v>
      </c>
      <c r="H133" s="16">
        <v>20</v>
      </c>
      <c r="I133" s="16">
        <v>2.68</v>
      </c>
      <c r="J133" s="16">
        <f>الجدول336112[[#This Row],[إفرادي القطعة الواحدة]]*0.2397184</f>
        <v>0.64244531199999999</v>
      </c>
      <c r="K133" s="16">
        <f>الجدول336112[[#This Row],[إفرادي القطعة الواحدة]]+الجدول336112[[#This Row],[أجور الشحن للقطعة الواحدة]]</f>
        <v>3.3224453120000002</v>
      </c>
      <c r="L133" s="16">
        <f>الجدول336112[[#This Row],[العدد]]*الجدول336112[[#This Row],[إجمالي تكلفة القطعة الواحدة]]</f>
        <v>66.448906239999999</v>
      </c>
      <c r="M133" s="16" t="s">
        <v>5</v>
      </c>
      <c r="N133" s="18">
        <v>23</v>
      </c>
      <c r="O133" s="19"/>
      <c r="P133" s="18"/>
    </row>
    <row r="134" spans="1:16" s="20" customFormat="1" ht="45" customHeight="1" x14ac:dyDescent="0.2">
      <c r="A134" s="24"/>
      <c r="B134" s="15" t="str">
        <f>IF(الجدول336112[[#This Row],[اسم المسلّم]]="","",ROW()-8)</f>
        <v/>
      </c>
      <c r="C134" s="16"/>
      <c r="D134" s="17" t="s">
        <v>427</v>
      </c>
      <c r="E134" s="16" t="s">
        <v>426</v>
      </c>
      <c r="F134" s="16" t="s">
        <v>421</v>
      </c>
      <c r="G134" s="16" t="s">
        <v>341</v>
      </c>
      <c r="H134" s="16">
        <v>50</v>
      </c>
      <c r="I134" s="16">
        <v>3.26</v>
      </c>
      <c r="J134" s="16">
        <f>الجدول336112[[#This Row],[إفرادي القطعة الواحدة]]*0.2397184</f>
        <v>0.78148198399999991</v>
      </c>
      <c r="K134" s="16">
        <f>الجدول336112[[#This Row],[إفرادي القطعة الواحدة]]+الجدول336112[[#This Row],[أجور الشحن للقطعة الواحدة]]</f>
        <v>4.0414819839999998</v>
      </c>
      <c r="L134" s="16">
        <f>الجدول336112[[#This Row],[العدد]]*الجدول336112[[#This Row],[إجمالي تكلفة القطعة الواحدة]]</f>
        <v>202.07409919999998</v>
      </c>
      <c r="M134" s="16" t="s">
        <v>5</v>
      </c>
      <c r="N134" s="18">
        <v>23</v>
      </c>
      <c r="O134" s="19"/>
      <c r="P134" s="18"/>
    </row>
    <row r="135" spans="1:16" s="20" customFormat="1" ht="45" customHeight="1" x14ac:dyDescent="0.2">
      <c r="A135" s="24"/>
      <c r="B135" s="15" t="str">
        <f>IF(الجدول336112[[#This Row],[اسم المسلّم]]="","",ROW()-8)</f>
        <v/>
      </c>
      <c r="C135" s="16"/>
      <c r="D135" s="17" t="s">
        <v>427</v>
      </c>
      <c r="E135" s="16" t="s">
        <v>426</v>
      </c>
      <c r="F135" s="16" t="s">
        <v>422</v>
      </c>
      <c r="G135" s="16" t="s">
        <v>341</v>
      </c>
      <c r="H135" s="16">
        <v>32</v>
      </c>
      <c r="I135" s="16">
        <v>1.84</v>
      </c>
      <c r="J135" s="16">
        <f>الجدول336112[[#This Row],[إفرادي القطعة الواحدة]]*0.2397184</f>
        <v>0.44108185599999999</v>
      </c>
      <c r="K135" s="16">
        <f>الجدول336112[[#This Row],[إفرادي القطعة الواحدة]]+الجدول336112[[#This Row],[أجور الشحن للقطعة الواحدة]]</f>
        <v>2.2810818560000001</v>
      </c>
      <c r="L135" s="16">
        <f>الجدول336112[[#This Row],[العدد]]*الجدول336112[[#This Row],[إجمالي تكلفة القطعة الواحدة]]</f>
        <v>72.994619392000004</v>
      </c>
      <c r="M135" s="16" t="s">
        <v>5</v>
      </c>
      <c r="N135" s="18">
        <v>23</v>
      </c>
      <c r="O135" s="19"/>
      <c r="P135" s="18"/>
    </row>
    <row r="136" spans="1:16" s="20" customFormat="1" ht="45" customHeight="1" x14ac:dyDescent="0.2">
      <c r="A136" s="24"/>
      <c r="B136" s="15" t="str">
        <f>IF(الجدول336112[[#This Row],[اسم المسلّم]]="","",ROW()-8)</f>
        <v/>
      </c>
      <c r="C136" s="16"/>
      <c r="D136" s="17" t="s">
        <v>427</v>
      </c>
      <c r="E136" s="16" t="s">
        <v>426</v>
      </c>
      <c r="F136" s="16" t="s">
        <v>416</v>
      </c>
      <c r="G136" s="16" t="s">
        <v>341</v>
      </c>
      <c r="H136" s="16">
        <v>80</v>
      </c>
      <c r="I136" s="16">
        <v>2.91</v>
      </c>
      <c r="J136" s="16">
        <f>الجدول336112[[#This Row],[إفرادي القطعة الواحدة]]*0.2397184</f>
        <v>0.69758054400000002</v>
      </c>
      <c r="K136" s="16">
        <f>الجدول336112[[#This Row],[إفرادي القطعة الواحدة]]+الجدول336112[[#This Row],[أجور الشحن للقطعة الواحدة]]</f>
        <v>3.6075805440000002</v>
      </c>
      <c r="L136" s="16">
        <f>الجدول336112[[#This Row],[العدد]]*الجدول336112[[#This Row],[إجمالي تكلفة القطعة الواحدة]]</f>
        <v>288.60644352000003</v>
      </c>
      <c r="M136" s="16" t="s">
        <v>5</v>
      </c>
      <c r="N136" s="18">
        <v>23</v>
      </c>
      <c r="O136" s="19"/>
      <c r="P136" s="18"/>
    </row>
    <row r="137" spans="1:16" s="20" customFormat="1" ht="45" customHeight="1" x14ac:dyDescent="0.2">
      <c r="A137" s="24"/>
      <c r="B137" s="15" t="str">
        <f>IF(الجدول336112[[#This Row],[اسم المسلّم]]="","",ROW()-8)</f>
        <v/>
      </c>
      <c r="C137" s="16"/>
      <c r="D137" s="17" t="s">
        <v>427</v>
      </c>
      <c r="E137" s="16" t="s">
        <v>426</v>
      </c>
      <c r="F137" s="16" t="s">
        <v>423</v>
      </c>
      <c r="G137" s="16" t="s">
        <v>341</v>
      </c>
      <c r="H137" s="16">
        <v>19</v>
      </c>
      <c r="I137" s="16">
        <v>2.62</v>
      </c>
      <c r="J137" s="16">
        <f>الجدول336112[[#This Row],[إفرادي القطعة الواحدة]]*0.2397184</f>
        <v>0.62806220800000001</v>
      </c>
      <c r="K137" s="16">
        <f>الجدول336112[[#This Row],[إفرادي القطعة الواحدة]]+الجدول336112[[#This Row],[أجور الشحن للقطعة الواحدة]]</f>
        <v>3.2480622080000003</v>
      </c>
      <c r="L137" s="16">
        <f>الجدول336112[[#This Row],[العدد]]*الجدول336112[[#This Row],[إجمالي تكلفة القطعة الواحدة]]</f>
        <v>61.713181952000006</v>
      </c>
      <c r="M137" s="16" t="s">
        <v>5</v>
      </c>
      <c r="N137" s="18">
        <v>23</v>
      </c>
      <c r="O137" s="19"/>
      <c r="P137" s="18"/>
    </row>
    <row r="138" spans="1:16" s="20" customFormat="1" ht="45" customHeight="1" x14ac:dyDescent="0.2">
      <c r="A138" s="24"/>
      <c r="B138" s="15" t="str">
        <f>IF(الجدول336112[[#This Row],[اسم المسلّم]]="","",ROW()-8)</f>
        <v/>
      </c>
      <c r="C138" s="16"/>
      <c r="D138" s="17" t="s">
        <v>427</v>
      </c>
      <c r="E138" s="16" t="s">
        <v>426</v>
      </c>
      <c r="F138" s="16" t="s">
        <v>424</v>
      </c>
      <c r="G138" s="16" t="s">
        <v>341</v>
      </c>
      <c r="H138" s="16">
        <v>30</v>
      </c>
      <c r="I138" s="16">
        <v>3.65</v>
      </c>
      <c r="J138" s="16">
        <f>الجدول336112[[#This Row],[إفرادي القطعة الواحدة]]*0.2397184</f>
        <v>0.87497216</v>
      </c>
      <c r="K138" s="16">
        <f>الجدول336112[[#This Row],[إفرادي القطعة الواحدة]]+الجدول336112[[#This Row],[أجور الشحن للقطعة الواحدة]]</f>
        <v>4.5249721599999999</v>
      </c>
      <c r="L138" s="16">
        <f>الجدول336112[[#This Row],[العدد]]*الجدول336112[[#This Row],[إجمالي تكلفة القطعة الواحدة]]</f>
        <v>135.74916479999999</v>
      </c>
      <c r="M138" s="16" t="s">
        <v>5</v>
      </c>
      <c r="N138" s="18">
        <v>23</v>
      </c>
      <c r="O138" s="19"/>
      <c r="P138" s="18"/>
    </row>
    <row r="139" spans="1:16" s="20" customFormat="1" ht="45" customHeight="1" x14ac:dyDescent="0.2">
      <c r="A139" s="24"/>
      <c r="B139" s="15" t="str">
        <f>IF(الجدول336112[[#This Row],[اسم المسلّم]]="","",ROW()-8)</f>
        <v/>
      </c>
      <c r="C139" s="16"/>
      <c r="D139" s="17" t="s">
        <v>427</v>
      </c>
      <c r="E139" s="16" t="s">
        <v>426</v>
      </c>
      <c r="F139" s="16" t="s">
        <v>425</v>
      </c>
      <c r="G139" s="16" t="s">
        <v>341</v>
      </c>
      <c r="H139" s="16">
        <v>50</v>
      </c>
      <c r="I139" s="16">
        <v>2.23</v>
      </c>
      <c r="J139" s="16">
        <f>الجدول336112[[#This Row],[إفرادي القطعة الواحدة]]*0.2397184</f>
        <v>0.53457203200000003</v>
      </c>
      <c r="K139" s="16">
        <f>الجدول336112[[#This Row],[إفرادي القطعة الواحدة]]+الجدول336112[[#This Row],[أجور الشحن للقطعة الواحدة]]</f>
        <v>2.7645720320000002</v>
      </c>
      <c r="L139" s="16">
        <f>الجدول336112[[#This Row],[العدد]]*الجدول336112[[#This Row],[إجمالي تكلفة القطعة الواحدة]]</f>
        <v>138.22860160000002</v>
      </c>
      <c r="M139" s="16" t="s">
        <v>5</v>
      </c>
      <c r="N139" s="18">
        <v>23</v>
      </c>
      <c r="O139" s="19"/>
      <c r="P139" s="18"/>
    </row>
    <row r="140" spans="1:16" s="20" customFormat="1" ht="45" customHeight="1" x14ac:dyDescent="0.2">
      <c r="A140" s="24"/>
      <c r="B140" s="15" t="str">
        <f>IF(الجدول336112[[#This Row],[اسم المسلّم]]="","",ROW()-8)</f>
        <v/>
      </c>
      <c r="C140" s="16"/>
      <c r="D140" s="17" t="s">
        <v>427</v>
      </c>
      <c r="E140" s="16" t="s">
        <v>426</v>
      </c>
      <c r="F140" s="16" t="s">
        <v>436</v>
      </c>
      <c r="G140" s="16" t="s">
        <v>341</v>
      </c>
      <c r="H140" s="16">
        <v>100</v>
      </c>
      <c r="I140" s="16">
        <v>2.62</v>
      </c>
      <c r="J140" s="16">
        <f>الجدول336112[[#This Row],[إفرادي القطعة الواحدة]]*0.2397184</f>
        <v>0.62806220800000001</v>
      </c>
      <c r="K140" s="16">
        <f>الجدول336112[[#This Row],[إفرادي القطعة الواحدة]]+الجدول336112[[#This Row],[أجور الشحن للقطعة الواحدة]]</f>
        <v>3.2480622080000003</v>
      </c>
      <c r="L140" s="16">
        <f>الجدول336112[[#This Row],[العدد]]*الجدول336112[[#This Row],[إجمالي تكلفة القطعة الواحدة]]</f>
        <v>324.80622080000001</v>
      </c>
      <c r="M140" s="16" t="s">
        <v>5</v>
      </c>
      <c r="N140" s="18">
        <v>23</v>
      </c>
      <c r="O140" s="19"/>
      <c r="P140" s="18"/>
    </row>
    <row r="141" spans="1:16" s="20" customFormat="1" ht="45" customHeight="1" x14ac:dyDescent="0.2">
      <c r="A141" s="24"/>
      <c r="B141" s="15" t="str">
        <f>IF(الجدول336112[[#This Row],[اسم المسلّم]]="","",ROW()-8)</f>
        <v/>
      </c>
      <c r="C141" s="16"/>
      <c r="D141" s="17" t="s">
        <v>427</v>
      </c>
      <c r="E141" s="16" t="s">
        <v>426</v>
      </c>
      <c r="F141" s="16" t="s">
        <v>437</v>
      </c>
      <c r="G141" s="16" t="s">
        <v>341</v>
      </c>
      <c r="H141" s="16">
        <v>60</v>
      </c>
      <c r="I141" s="16">
        <v>28.13</v>
      </c>
      <c r="J141" s="16">
        <f>الجدول336112[[#This Row],[إفرادي القطعة الواحدة]]*0.2397184</f>
        <v>6.7432785919999993</v>
      </c>
      <c r="K141" s="16">
        <f>الجدول336112[[#This Row],[إفرادي القطعة الواحدة]]+الجدول336112[[#This Row],[أجور الشحن للقطعة الواحدة]]</f>
        <v>34.873278591999998</v>
      </c>
      <c r="L141" s="16">
        <f>الجدول336112[[#This Row],[العدد]]*الجدول336112[[#This Row],[إجمالي تكلفة القطعة الواحدة]]</f>
        <v>2092.3967155199998</v>
      </c>
      <c r="M141" s="16" t="s">
        <v>5</v>
      </c>
      <c r="N141" s="18">
        <v>23</v>
      </c>
      <c r="O141" s="19"/>
      <c r="P141" s="18"/>
    </row>
    <row r="142" spans="1:16" s="20" customFormat="1" ht="45" customHeight="1" x14ac:dyDescent="0.2">
      <c r="A142" s="24"/>
      <c r="B142" s="15" t="str">
        <f>IF(الجدول336112[[#This Row],[اسم المسلّم]]="","",ROW()-8)</f>
        <v/>
      </c>
      <c r="C142" s="16"/>
      <c r="D142" s="17" t="s">
        <v>427</v>
      </c>
      <c r="E142" s="16" t="s">
        <v>426</v>
      </c>
      <c r="F142" s="16" t="s">
        <v>438</v>
      </c>
      <c r="G142" s="16" t="s">
        <v>341</v>
      </c>
      <c r="H142" s="16">
        <v>60</v>
      </c>
      <c r="I142" s="16">
        <v>28.13</v>
      </c>
      <c r="J142" s="16">
        <f>الجدول336112[[#This Row],[إفرادي القطعة الواحدة]]*0.2397184</f>
        <v>6.7432785919999993</v>
      </c>
      <c r="K142" s="16">
        <f>الجدول336112[[#This Row],[إفرادي القطعة الواحدة]]+الجدول336112[[#This Row],[أجور الشحن للقطعة الواحدة]]</f>
        <v>34.873278591999998</v>
      </c>
      <c r="L142" s="16">
        <f>الجدول336112[[#This Row],[العدد]]*الجدول336112[[#This Row],[إجمالي تكلفة القطعة الواحدة]]</f>
        <v>2092.3967155199998</v>
      </c>
      <c r="M142" s="16" t="s">
        <v>5</v>
      </c>
      <c r="N142" s="18">
        <v>23</v>
      </c>
      <c r="O142" s="19"/>
      <c r="P142" s="18"/>
    </row>
    <row r="143" spans="1:16" s="20" customFormat="1" ht="45" customHeight="1" x14ac:dyDescent="0.2">
      <c r="A143" s="24"/>
      <c r="B143" s="15" t="str">
        <f>IF(الجدول336112[[#This Row],[اسم المسلّم]]="","",ROW()-8)</f>
        <v/>
      </c>
      <c r="C143" s="16"/>
      <c r="D143" s="17" t="s">
        <v>427</v>
      </c>
      <c r="E143" s="16" t="s">
        <v>426</v>
      </c>
      <c r="F143" s="16" t="s">
        <v>439</v>
      </c>
      <c r="G143" s="16" t="s">
        <v>341</v>
      </c>
      <c r="H143" s="16">
        <v>20</v>
      </c>
      <c r="I143" s="16">
        <v>28.13</v>
      </c>
      <c r="J143" s="16">
        <f>الجدول336112[[#This Row],[إفرادي القطعة الواحدة]]*0.2397184</f>
        <v>6.7432785919999993</v>
      </c>
      <c r="K143" s="16">
        <f>الجدول336112[[#This Row],[إفرادي القطعة الواحدة]]+الجدول336112[[#This Row],[أجور الشحن للقطعة الواحدة]]</f>
        <v>34.873278591999998</v>
      </c>
      <c r="L143" s="16">
        <f>الجدول336112[[#This Row],[العدد]]*الجدول336112[[#This Row],[إجمالي تكلفة القطعة الواحدة]]</f>
        <v>697.46557183999994</v>
      </c>
      <c r="M143" s="16" t="s">
        <v>5</v>
      </c>
      <c r="N143" s="18">
        <v>23</v>
      </c>
      <c r="O143" s="19"/>
      <c r="P143" s="18"/>
    </row>
    <row r="144" spans="1:16" s="20" customFormat="1" ht="45" customHeight="1" x14ac:dyDescent="0.2">
      <c r="A144" s="24"/>
      <c r="B144" s="15" t="str">
        <f>IF(الجدول336112[[#This Row],[اسم المسلّم]]="","",ROW()-8)</f>
        <v/>
      </c>
      <c r="C144" s="16"/>
      <c r="D144" s="17" t="s">
        <v>427</v>
      </c>
      <c r="E144" s="16" t="s">
        <v>296</v>
      </c>
      <c r="F144" s="16" t="s">
        <v>176</v>
      </c>
      <c r="G144" s="16" t="s">
        <v>341</v>
      </c>
      <c r="H144" s="16">
        <v>2500</v>
      </c>
      <c r="I144" s="16">
        <v>0.25</v>
      </c>
      <c r="J144" s="16">
        <f>الجدول336112[[#This Row],[إفرادي القطعة الواحدة]]*0.2397184</f>
        <v>5.99296E-2</v>
      </c>
      <c r="K144" s="16">
        <f>الجدول336112[[#This Row],[إفرادي القطعة الواحدة]]+الجدول336112[[#This Row],[أجور الشحن للقطعة الواحدة]]</f>
        <v>0.30992960000000003</v>
      </c>
      <c r="L144" s="16">
        <f>الجدول336112[[#This Row],[العدد]]*الجدول336112[[#This Row],[إجمالي تكلفة القطعة الواحدة]]</f>
        <v>774.82400000000007</v>
      </c>
      <c r="M144" s="16" t="s">
        <v>5</v>
      </c>
      <c r="N144" s="18">
        <v>24</v>
      </c>
      <c r="O144" s="19"/>
      <c r="P144" s="18"/>
    </row>
    <row r="145" spans="1:16" s="20" customFormat="1" ht="45" customHeight="1" x14ac:dyDescent="0.2">
      <c r="A145" s="24"/>
      <c r="B145" s="15" t="str">
        <f>IF(الجدول336112[[#This Row],[اسم المسلّم]]="","",ROW()-8)</f>
        <v/>
      </c>
      <c r="C145" s="16"/>
      <c r="D145" s="17" t="s">
        <v>321</v>
      </c>
      <c r="E145" s="16" t="s">
        <v>298</v>
      </c>
      <c r="F145" s="16" t="s">
        <v>440</v>
      </c>
      <c r="G145" s="16" t="s">
        <v>341</v>
      </c>
      <c r="H145" s="16">
        <v>9800</v>
      </c>
      <c r="I145" s="16">
        <v>0.17</v>
      </c>
      <c r="J145" s="16">
        <f>الجدول336112[[#This Row],[إفرادي القطعة الواحدة]]*0.2397184</f>
        <v>4.0752128000000006E-2</v>
      </c>
      <c r="K145" s="16">
        <f>الجدول336112[[#This Row],[إفرادي القطعة الواحدة]]+الجدول336112[[#This Row],[أجور الشحن للقطعة الواحدة]]</f>
        <v>0.21075212800000001</v>
      </c>
      <c r="L145" s="16">
        <f>الجدول336112[[#This Row],[العدد]]*الجدول336112[[#This Row],[إجمالي تكلفة القطعة الواحدة]]</f>
        <v>2065.3708544000001</v>
      </c>
      <c r="M145" s="16" t="s">
        <v>5</v>
      </c>
      <c r="N145" s="18">
        <v>24</v>
      </c>
      <c r="O145" s="19"/>
      <c r="P145" s="18"/>
    </row>
    <row r="146" spans="1:16" s="20" customFormat="1" ht="45" customHeight="1" x14ac:dyDescent="0.2">
      <c r="A146" s="24"/>
      <c r="B146" s="15" t="str">
        <f>IF(الجدول336112[[#This Row],[اسم المسلّم]]="","",ROW()-8)</f>
        <v/>
      </c>
      <c r="C146" s="16"/>
      <c r="D146" s="17" t="s">
        <v>319</v>
      </c>
      <c r="E146" s="16" t="s">
        <v>296</v>
      </c>
      <c r="F146" s="16" t="s">
        <v>441</v>
      </c>
      <c r="G146" s="16" t="s">
        <v>341</v>
      </c>
      <c r="H146" s="16">
        <v>2500</v>
      </c>
      <c r="I146" s="16">
        <v>0.25</v>
      </c>
      <c r="J146" s="16">
        <f>الجدول336112[[#This Row],[إفرادي القطعة الواحدة]]*0.2397184</f>
        <v>5.99296E-2</v>
      </c>
      <c r="K146" s="16">
        <f>الجدول336112[[#This Row],[إفرادي القطعة الواحدة]]+الجدول336112[[#This Row],[أجور الشحن للقطعة الواحدة]]</f>
        <v>0.30992960000000003</v>
      </c>
      <c r="L146" s="16">
        <f>الجدول336112[[#This Row],[العدد]]*الجدول336112[[#This Row],[إجمالي تكلفة القطعة الواحدة]]</f>
        <v>774.82400000000007</v>
      </c>
      <c r="M146" s="16" t="s">
        <v>5</v>
      </c>
      <c r="N146" s="18">
        <v>24</v>
      </c>
      <c r="O146" s="19"/>
      <c r="P146" s="18"/>
    </row>
    <row r="147" spans="1:16" s="20" customFormat="1" ht="45" customHeight="1" x14ac:dyDescent="0.2">
      <c r="A147" s="24"/>
      <c r="B147" s="15" t="str">
        <f>IF(الجدول336112[[#This Row],[اسم المسلّم]]="","",ROW()-8)</f>
        <v/>
      </c>
      <c r="C147" s="16"/>
      <c r="D147" s="17" t="s">
        <v>319</v>
      </c>
      <c r="E147" s="16" t="s">
        <v>296</v>
      </c>
      <c r="F147" s="16" t="s">
        <v>174</v>
      </c>
      <c r="G147" s="16" t="s">
        <v>341</v>
      </c>
      <c r="H147" s="16">
        <v>2500</v>
      </c>
      <c r="I147" s="16">
        <v>0.25</v>
      </c>
      <c r="J147" s="16">
        <f>الجدول336112[[#This Row],[إفرادي القطعة الواحدة]]*0.2397184</f>
        <v>5.99296E-2</v>
      </c>
      <c r="K147" s="16">
        <f>الجدول336112[[#This Row],[إفرادي القطعة الواحدة]]+الجدول336112[[#This Row],[أجور الشحن للقطعة الواحدة]]</f>
        <v>0.30992960000000003</v>
      </c>
      <c r="L147" s="16">
        <f>الجدول336112[[#This Row],[العدد]]*الجدول336112[[#This Row],[إجمالي تكلفة القطعة الواحدة]]</f>
        <v>774.82400000000007</v>
      </c>
      <c r="M147" s="16" t="s">
        <v>5</v>
      </c>
      <c r="N147" s="18">
        <v>24</v>
      </c>
      <c r="O147" s="19"/>
      <c r="P147" s="18"/>
    </row>
    <row r="148" spans="1:16" s="20" customFormat="1" ht="45" customHeight="1" x14ac:dyDescent="0.2">
      <c r="A148" s="24"/>
      <c r="B148" s="15" t="str">
        <f>IF(الجدول336112[[#This Row],[اسم المسلّم]]="","",ROW()-8)</f>
        <v/>
      </c>
      <c r="C148" s="16"/>
      <c r="D148" s="17" t="s">
        <v>321</v>
      </c>
      <c r="E148" s="16" t="s">
        <v>298</v>
      </c>
      <c r="F148" s="16" t="s">
        <v>205</v>
      </c>
      <c r="G148" s="16" t="s">
        <v>341</v>
      </c>
      <c r="H148" s="16">
        <v>5000</v>
      </c>
      <c r="I148" s="16">
        <v>0.17</v>
      </c>
      <c r="J148" s="16">
        <f>الجدول336112[[#This Row],[إفرادي القطعة الواحدة]]*0.2397184</f>
        <v>4.0752128000000006E-2</v>
      </c>
      <c r="K148" s="16">
        <f>الجدول336112[[#This Row],[إفرادي القطعة الواحدة]]+الجدول336112[[#This Row],[أجور الشحن للقطعة الواحدة]]</f>
        <v>0.21075212800000001</v>
      </c>
      <c r="L148" s="16">
        <f>الجدول336112[[#This Row],[العدد]]*الجدول336112[[#This Row],[إجمالي تكلفة القطعة الواحدة]]</f>
        <v>1053.76064</v>
      </c>
      <c r="M148" s="16" t="s">
        <v>5</v>
      </c>
      <c r="N148" s="18">
        <v>24</v>
      </c>
      <c r="O148" s="19"/>
      <c r="P148" s="18"/>
    </row>
    <row r="149" spans="1:16" s="20" customFormat="1" ht="45" customHeight="1" x14ac:dyDescent="0.2">
      <c r="A149" s="24"/>
      <c r="B149" s="15" t="str">
        <f>IF(الجدول336112[[#This Row],[اسم المسلّم]]="","",ROW()-8)</f>
        <v/>
      </c>
      <c r="C149" s="16"/>
      <c r="D149" s="17" t="s">
        <v>321</v>
      </c>
      <c r="E149" s="16" t="s">
        <v>298</v>
      </c>
      <c r="F149" s="16" t="s">
        <v>206</v>
      </c>
      <c r="G149" s="16" t="s">
        <v>341</v>
      </c>
      <c r="H149" s="16">
        <v>675</v>
      </c>
      <c r="I149" s="16">
        <v>0.3</v>
      </c>
      <c r="J149" s="16">
        <f>الجدول336112[[#This Row],[إفرادي القطعة الواحدة]]*0.2397184</f>
        <v>7.1915519999999997E-2</v>
      </c>
      <c r="K149" s="16">
        <f>الجدول336112[[#This Row],[إفرادي القطعة الواحدة]]+الجدول336112[[#This Row],[أجور الشحن للقطعة الواحدة]]</f>
        <v>0.37191552</v>
      </c>
      <c r="L149" s="16">
        <f>الجدول336112[[#This Row],[العدد]]*الجدول336112[[#This Row],[إجمالي تكلفة القطعة الواحدة]]</f>
        <v>251.04297600000001</v>
      </c>
      <c r="M149" s="16" t="s">
        <v>5</v>
      </c>
      <c r="N149" s="18">
        <v>24</v>
      </c>
      <c r="O149" s="19"/>
      <c r="P149" s="18"/>
    </row>
    <row r="150" spans="1:16" s="20" customFormat="1" ht="45" customHeight="1" x14ac:dyDescent="0.2">
      <c r="A150" s="24"/>
      <c r="B150" s="15" t="str">
        <f>IF(الجدول336112[[#This Row],[اسم المسلّم]]="","",ROW()-8)</f>
        <v/>
      </c>
      <c r="C150" s="16"/>
      <c r="D150" s="17" t="s">
        <v>323</v>
      </c>
      <c r="E150" s="16" t="s">
        <v>300</v>
      </c>
      <c r="F150" s="16" t="s">
        <v>442</v>
      </c>
      <c r="G150" s="16" t="s">
        <v>341</v>
      </c>
      <c r="H150" s="16">
        <v>44</v>
      </c>
      <c r="I150" s="16">
        <v>2.17</v>
      </c>
      <c r="J150" s="16">
        <f>الجدول336112[[#This Row],[إفرادي القطعة الواحدة]]*0.2397184</f>
        <v>0.52018892799999994</v>
      </c>
      <c r="K150" s="16">
        <f>الجدول336112[[#This Row],[إفرادي القطعة الواحدة]]+الجدول336112[[#This Row],[أجور الشحن للقطعة الواحدة]]</f>
        <v>2.690188928</v>
      </c>
      <c r="L150" s="16">
        <f>الجدول336112[[#This Row],[العدد]]*الجدول336112[[#This Row],[إجمالي تكلفة القطعة الواحدة]]</f>
        <v>118.368312832</v>
      </c>
      <c r="M150" s="16" t="s">
        <v>5</v>
      </c>
      <c r="N150" s="18">
        <v>24</v>
      </c>
      <c r="O150" s="19"/>
      <c r="P150" s="18"/>
    </row>
    <row r="151" spans="1:16" s="20" customFormat="1" ht="45" customHeight="1" x14ac:dyDescent="0.2">
      <c r="A151" s="24"/>
      <c r="B151" s="15" t="str">
        <f>IF(الجدول336112[[#This Row],[اسم المسلّم]]="","",ROW()-8)</f>
        <v/>
      </c>
      <c r="C151" s="16"/>
      <c r="D151" s="17" t="s">
        <v>323</v>
      </c>
      <c r="E151" s="16" t="s">
        <v>300</v>
      </c>
      <c r="F151" s="16" t="s">
        <v>443</v>
      </c>
      <c r="G151" s="16" t="s">
        <v>341</v>
      </c>
      <c r="H151" s="16">
        <v>10</v>
      </c>
      <c r="I151" s="16">
        <v>5.83</v>
      </c>
      <c r="J151" s="16">
        <f>الجدول336112[[#This Row],[إفرادي القطعة الواحدة]]*0.2397184</f>
        <v>1.3975582719999999</v>
      </c>
      <c r="K151" s="16">
        <f>الجدول336112[[#This Row],[إفرادي القطعة الواحدة]]+الجدول336112[[#This Row],[أجور الشحن للقطعة الواحدة]]</f>
        <v>7.2275582719999996</v>
      </c>
      <c r="L151" s="16">
        <f>الجدول336112[[#This Row],[العدد]]*الجدول336112[[#This Row],[إجمالي تكلفة القطعة الواحدة]]</f>
        <v>72.275582719999989</v>
      </c>
      <c r="M151" s="16" t="s">
        <v>5</v>
      </c>
      <c r="N151" s="18">
        <v>24</v>
      </c>
      <c r="O151" s="19"/>
      <c r="P151" s="18"/>
    </row>
    <row r="152" spans="1:16" s="20" customFormat="1" ht="45" customHeight="1" x14ac:dyDescent="0.2">
      <c r="A152" s="24"/>
      <c r="B152" s="15" t="str">
        <f>IF(الجدول336112[[#This Row],[اسم المسلّم]]="","",ROW()-8)</f>
        <v/>
      </c>
      <c r="C152" s="16"/>
      <c r="D152" s="17" t="s">
        <v>323</v>
      </c>
      <c r="E152" s="16" t="s">
        <v>300</v>
      </c>
      <c r="F152" s="16" t="s">
        <v>444</v>
      </c>
      <c r="G152" s="16" t="s">
        <v>341</v>
      </c>
      <c r="H152" s="16">
        <v>10</v>
      </c>
      <c r="I152" s="16">
        <v>1.83</v>
      </c>
      <c r="J152" s="16">
        <f>الجدول336112[[#This Row],[إفرادي القطعة الواحدة]]*0.2397184</f>
        <v>0.438684672</v>
      </c>
      <c r="K152" s="16">
        <f>الجدول336112[[#This Row],[إفرادي القطعة الواحدة]]+الجدول336112[[#This Row],[أجور الشحن للقطعة الواحدة]]</f>
        <v>2.268684672</v>
      </c>
      <c r="L152" s="16">
        <f>الجدول336112[[#This Row],[العدد]]*الجدول336112[[#This Row],[إجمالي تكلفة القطعة الواحدة]]</f>
        <v>22.686846719999998</v>
      </c>
      <c r="M152" s="16" t="s">
        <v>5</v>
      </c>
      <c r="N152" s="18">
        <v>24</v>
      </c>
      <c r="O152" s="19"/>
      <c r="P152" s="18"/>
    </row>
    <row r="153" spans="1:16" s="20" customFormat="1" ht="45" customHeight="1" x14ac:dyDescent="0.2">
      <c r="A153" s="24"/>
      <c r="B153" s="15" t="str">
        <f>IF(الجدول336112[[#This Row],[اسم المسلّم]]="","",ROW()-8)</f>
        <v/>
      </c>
      <c r="C153" s="16"/>
      <c r="D153" s="17" t="s">
        <v>323</v>
      </c>
      <c r="E153" s="16" t="s">
        <v>300</v>
      </c>
      <c r="F153" s="16" t="s">
        <v>445</v>
      </c>
      <c r="G153" s="16" t="s">
        <v>341</v>
      </c>
      <c r="H153" s="16">
        <v>10</v>
      </c>
      <c r="I153" s="16">
        <v>2.17</v>
      </c>
      <c r="J153" s="16">
        <f>الجدول336112[[#This Row],[إفرادي القطعة الواحدة]]*0.2397184</f>
        <v>0.52018892799999994</v>
      </c>
      <c r="K153" s="16">
        <f>الجدول336112[[#This Row],[إفرادي القطعة الواحدة]]+الجدول336112[[#This Row],[أجور الشحن للقطعة الواحدة]]</f>
        <v>2.690188928</v>
      </c>
      <c r="L153" s="16">
        <f>الجدول336112[[#This Row],[العدد]]*الجدول336112[[#This Row],[إجمالي تكلفة القطعة الواحدة]]</f>
        <v>26.901889279999999</v>
      </c>
      <c r="M153" s="16" t="s">
        <v>5</v>
      </c>
      <c r="N153" s="18">
        <v>24</v>
      </c>
      <c r="O153" s="19"/>
      <c r="P153" s="18"/>
    </row>
    <row r="154" spans="1:16" s="20" customFormat="1" ht="45" customHeight="1" x14ac:dyDescent="0.2">
      <c r="A154" s="24"/>
      <c r="B154" s="15" t="str">
        <f>IF(الجدول336112[[#This Row],[اسم المسلّم]]="","",ROW()-8)</f>
        <v/>
      </c>
      <c r="C154" s="16"/>
      <c r="D154" s="17" t="s">
        <v>319</v>
      </c>
      <c r="E154" s="16" t="s">
        <v>296</v>
      </c>
      <c r="F154" s="16" t="s">
        <v>446</v>
      </c>
      <c r="G154" s="16" t="s">
        <v>341</v>
      </c>
      <c r="H154" s="16">
        <v>500</v>
      </c>
      <c r="I154" s="16">
        <v>0.35</v>
      </c>
      <c r="J154" s="16">
        <f>الجدول336112[[#This Row],[إفرادي القطعة الواحدة]]*0.2397184</f>
        <v>8.3901439999999994E-2</v>
      </c>
      <c r="K154" s="16">
        <f>الجدول336112[[#This Row],[إفرادي القطعة الواحدة]]+الجدول336112[[#This Row],[أجور الشحن للقطعة الواحدة]]</f>
        <v>0.43390143999999997</v>
      </c>
      <c r="L154" s="16">
        <f>الجدول336112[[#This Row],[العدد]]*الجدول336112[[#This Row],[إجمالي تكلفة القطعة الواحدة]]</f>
        <v>216.95071999999999</v>
      </c>
      <c r="M154" s="16" t="s">
        <v>5</v>
      </c>
      <c r="N154" s="18">
        <v>24</v>
      </c>
      <c r="O154" s="19"/>
      <c r="P154" s="18"/>
    </row>
    <row r="155" spans="1:16" s="20" customFormat="1" ht="45" customHeight="1" x14ac:dyDescent="0.2">
      <c r="A155" s="24"/>
      <c r="B155" s="15" t="str">
        <f>IF(الجدول336112[[#This Row],[اسم المسلّم]]="","",ROW()-8)</f>
        <v/>
      </c>
      <c r="C155" s="16"/>
      <c r="D155" s="17" t="s">
        <v>321</v>
      </c>
      <c r="E155" s="16" t="s">
        <v>298</v>
      </c>
      <c r="F155" s="16" t="s">
        <v>447</v>
      </c>
      <c r="G155" s="16" t="s">
        <v>341</v>
      </c>
      <c r="H155" s="16">
        <v>5001</v>
      </c>
      <c r="I155" s="16">
        <v>0.17</v>
      </c>
      <c r="J155" s="16">
        <f>الجدول336112[[#This Row],[إفرادي القطعة الواحدة]]*0.2397184</f>
        <v>4.0752128000000006E-2</v>
      </c>
      <c r="K155" s="16">
        <f>الجدول336112[[#This Row],[إفرادي القطعة الواحدة]]+الجدول336112[[#This Row],[أجور الشحن للقطعة الواحدة]]</f>
        <v>0.21075212800000001</v>
      </c>
      <c r="L155" s="16">
        <f>الجدول336112[[#This Row],[العدد]]*الجدول336112[[#This Row],[إجمالي تكلفة القطعة الواحدة]]</f>
        <v>1053.9713921280002</v>
      </c>
      <c r="M155" s="16" t="s">
        <v>5</v>
      </c>
      <c r="N155" s="18">
        <v>24</v>
      </c>
      <c r="O155" s="19"/>
      <c r="P155" s="18"/>
    </row>
    <row r="156" spans="1:16" s="20" customFormat="1" ht="45" customHeight="1" x14ac:dyDescent="0.2">
      <c r="A156" s="24"/>
      <c r="B156" s="15" t="str">
        <f>IF(الجدول336112[[#This Row],[اسم المسلّم]]="","",ROW()-8)</f>
        <v/>
      </c>
      <c r="C156" s="16"/>
      <c r="D156" s="17" t="s">
        <v>329</v>
      </c>
      <c r="E156" s="16" t="s">
        <v>305</v>
      </c>
      <c r="F156" s="16" t="s">
        <v>234</v>
      </c>
      <c r="G156" s="16" t="s">
        <v>341</v>
      </c>
      <c r="H156" s="16">
        <v>100</v>
      </c>
      <c r="I156" s="16">
        <v>0.5</v>
      </c>
      <c r="J156" s="16">
        <f>الجدول336112[[#This Row],[إفرادي القطعة الواحدة]]*0.2397184</f>
        <v>0.1198592</v>
      </c>
      <c r="K156" s="16">
        <f>الجدول336112[[#This Row],[إفرادي القطعة الواحدة]]+الجدول336112[[#This Row],[أجور الشحن للقطعة الواحدة]]</f>
        <v>0.61985920000000005</v>
      </c>
      <c r="L156" s="16">
        <f>الجدول336112[[#This Row],[العدد]]*الجدول336112[[#This Row],[إجمالي تكلفة القطعة الواحدة]]</f>
        <v>61.985920000000007</v>
      </c>
      <c r="M156" s="16" t="s">
        <v>5</v>
      </c>
      <c r="N156" s="18">
        <v>24</v>
      </c>
      <c r="O156" s="19"/>
      <c r="P156" s="18"/>
    </row>
    <row r="157" spans="1:16" s="20" customFormat="1" ht="45" customHeight="1" x14ac:dyDescent="0.2">
      <c r="A157" s="24"/>
      <c r="B157" s="15" t="str">
        <f>IF(الجدول336112[[#This Row],[اسم المسلّم]]="","",ROW()-8)</f>
        <v/>
      </c>
      <c r="C157" s="16"/>
      <c r="D157" s="17" t="s">
        <v>329</v>
      </c>
      <c r="E157" s="16" t="s">
        <v>305</v>
      </c>
      <c r="F157" s="16" t="s">
        <v>235</v>
      </c>
      <c r="G157" s="16" t="s">
        <v>341</v>
      </c>
      <c r="H157" s="16">
        <v>100</v>
      </c>
      <c r="I157" s="16">
        <v>0.5</v>
      </c>
      <c r="J157" s="16">
        <f>الجدول336112[[#This Row],[إفرادي القطعة الواحدة]]*0.2397184</f>
        <v>0.1198592</v>
      </c>
      <c r="K157" s="16">
        <f>الجدول336112[[#This Row],[إفرادي القطعة الواحدة]]+الجدول336112[[#This Row],[أجور الشحن للقطعة الواحدة]]</f>
        <v>0.61985920000000005</v>
      </c>
      <c r="L157" s="16">
        <f>الجدول336112[[#This Row],[العدد]]*الجدول336112[[#This Row],[إجمالي تكلفة القطعة الواحدة]]</f>
        <v>61.985920000000007</v>
      </c>
      <c r="M157" s="16" t="s">
        <v>5</v>
      </c>
      <c r="N157" s="18">
        <v>24</v>
      </c>
      <c r="O157" s="19"/>
      <c r="P157" s="18"/>
    </row>
    <row r="158" spans="1:16" s="20" customFormat="1" ht="45" customHeight="1" x14ac:dyDescent="0.2">
      <c r="A158" s="24"/>
      <c r="B158" s="15" t="str">
        <f>IF(الجدول336112[[#This Row],[اسم المسلّم]]="","",ROW()-8)</f>
        <v/>
      </c>
      <c r="C158" s="16"/>
      <c r="D158" s="17" t="s">
        <v>330</v>
      </c>
      <c r="E158" s="16" t="s">
        <v>306</v>
      </c>
      <c r="F158" s="16" t="s">
        <v>237</v>
      </c>
      <c r="G158" s="16" t="s">
        <v>341</v>
      </c>
      <c r="H158" s="16">
        <v>150</v>
      </c>
      <c r="I158" s="16">
        <v>0.67</v>
      </c>
      <c r="J158" s="16">
        <f>الجدول336112[[#This Row],[إفرادي القطعة الواحدة]]*0.2397184</f>
        <v>0.160611328</v>
      </c>
      <c r="K158" s="16">
        <f>الجدول336112[[#This Row],[إفرادي القطعة الواحدة]]+الجدول336112[[#This Row],[أجور الشحن للقطعة الواحدة]]</f>
        <v>0.83061132800000004</v>
      </c>
      <c r="L158" s="16">
        <f>الجدول336112[[#This Row],[العدد]]*الجدول336112[[#This Row],[إجمالي تكلفة القطعة الواحدة]]</f>
        <v>124.59169920000001</v>
      </c>
      <c r="M158" s="16" t="s">
        <v>5</v>
      </c>
      <c r="N158" s="18">
        <v>24</v>
      </c>
      <c r="O158" s="19"/>
      <c r="P158" s="18"/>
    </row>
    <row r="159" spans="1:16" s="20" customFormat="1" ht="45" customHeight="1" x14ac:dyDescent="0.2">
      <c r="A159" s="24"/>
      <c r="B159" s="15" t="str">
        <f>IF(الجدول336112[[#This Row],[اسم المسلّم]]="","",ROW()-8)</f>
        <v/>
      </c>
      <c r="C159" s="16"/>
      <c r="D159" s="17" t="s">
        <v>372</v>
      </c>
      <c r="E159" s="16" t="s">
        <v>350</v>
      </c>
      <c r="F159" s="16" t="s">
        <v>373</v>
      </c>
      <c r="G159" s="16" t="s">
        <v>341</v>
      </c>
      <c r="H159" s="16">
        <v>24</v>
      </c>
      <c r="I159" s="16">
        <v>72</v>
      </c>
      <c r="J159" s="16">
        <f>الجدول336112[[#This Row],[إفرادي القطعة الواحدة]]*0.2397184</f>
        <v>17.259724800000001</v>
      </c>
      <c r="K159" s="16">
        <f>الجدول336112[[#This Row],[إفرادي القطعة الواحدة]]+الجدول336112[[#This Row],[أجور الشحن للقطعة الواحدة]]</f>
        <v>89.259724800000001</v>
      </c>
      <c r="L159" s="16">
        <f>الجدول336112[[#This Row],[العدد]]*الجدول336112[[#This Row],[إجمالي تكلفة القطعة الواحدة]]</f>
        <v>2142.2333951999999</v>
      </c>
      <c r="M159" s="16" t="s">
        <v>5</v>
      </c>
      <c r="N159" s="18">
        <v>24</v>
      </c>
      <c r="O159" s="19"/>
      <c r="P159" s="18"/>
    </row>
    <row r="160" spans="1:16" s="20" customFormat="1" ht="45" customHeight="1" x14ac:dyDescent="0.2">
      <c r="A160" s="24"/>
      <c r="B160" s="15" t="str">
        <f>IF(الجدول336112[[#This Row],[اسم المسلّم]]="","",ROW()-8)</f>
        <v/>
      </c>
      <c r="C160" s="16"/>
      <c r="D160" s="17" t="s">
        <v>321</v>
      </c>
      <c r="E160" s="16" t="s">
        <v>298</v>
      </c>
      <c r="F160" s="16" t="s">
        <v>204</v>
      </c>
      <c r="G160" s="16" t="s">
        <v>341</v>
      </c>
      <c r="H160" s="16">
        <v>4</v>
      </c>
      <c r="I160" s="16">
        <v>1.67</v>
      </c>
      <c r="J160" s="16">
        <f>الجدول336112[[#This Row],[إفرادي القطعة الواحدة]]*0.2397184</f>
        <v>0.400329728</v>
      </c>
      <c r="K160" s="16">
        <f>الجدول336112[[#This Row],[إفرادي القطعة الواحدة]]+الجدول336112[[#This Row],[أجور الشحن للقطعة الواحدة]]</f>
        <v>2.0703297279999999</v>
      </c>
      <c r="L160" s="16">
        <f>الجدول336112[[#This Row],[العدد]]*الجدول336112[[#This Row],[إجمالي تكلفة القطعة الواحدة]]</f>
        <v>8.2813189119999997</v>
      </c>
      <c r="M160" s="16" t="s">
        <v>5</v>
      </c>
      <c r="N160" s="18">
        <v>24</v>
      </c>
      <c r="O160" s="19"/>
      <c r="P160" s="18"/>
    </row>
    <row r="161" spans="1:16" s="20" customFormat="1" ht="45" customHeight="1" x14ac:dyDescent="0.2">
      <c r="A161" s="24"/>
      <c r="B161" s="15" t="str">
        <f>IF(الجدول336112[[#This Row],[اسم المسلّم]]="","",ROW()-8)</f>
        <v/>
      </c>
      <c r="C161" s="16"/>
      <c r="D161" s="17" t="s">
        <v>321</v>
      </c>
      <c r="E161" s="16" t="s">
        <v>298</v>
      </c>
      <c r="F161" s="16" t="s">
        <v>201</v>
      </c>
      <c r="G161" s="16" t="s">
        <v>341</v>
      </c>
      <c r="H161" s="16">
        <v>31</v>
      </c>
      <c r="I161" s="16">
        <v>1.67</v>
      </c>
      <c r="J161" s="16">
        <f>الجدول336112[[#This Row],[إفرادي القطعة الواحدة]]*0.2397184</f>
        <v>0.400329728</v>
      </c>
      <c r="K161" s="16">
        <f>الجدول336112[[#This Row],[إفرادي القطعة الواحدة]]+الجدول336112[[#This Row],[أجور الشحن للقطعة الواحدة]]</f>
        <v>2.0703297279999999</v>
      </c>
      <c r="L161" s="16">
        <f>الجدول336112[[#This Row],[العدد]]*الجدول336112[[#This Row],[إجمالي تكلفة القطعة الواحدة]]</f>
        <v>64.180221567999993</v>
      </c>
      <c r="M161" s="16" t="s">
        <v>5</v>
      </c>
      <c r="N161" s="18">
        <v>24</v>
      </c>
      <c r="O161" s="19"/>
      <c r="P161" s="18"/>
    </row>
    <row r="162" spans="1:16" s="20" customFormat="1" ht="45" customHeight="1" x14ac:dyDescent="0.2">
      <c r="A162" s="24"/>
      <c r="B162" s="15" t="str">
        <f>IF(الجدول336112[[#This Row],[اسم المسلّم]]="","",ROW()-8)</f>
        <v/>
      </c>
      <c r="C162" s="16"/>
      <c r="D162" s="17" t="s">
        <v>321</v>
      </c>
      <c r="E162" s="16" t="s">
        <v>298</v>
      </c>
      <c r="F162" s="16" t="s">
        <v>199</v>
      </c>
      <c r="G162" s="16" t="s">
        <v>341</v>
      </c>
      <c r="H162" s="16">
        <v>51</v>
      </c>
      <c r="I162" s="16">
        <v>1.67</v>
      </c>
      <c r="J162" s="16">
        <f>الجدول336112[[#This Row],[إفرادي القطعة الواحدة]]*0.2397184</f>
        <v>0.400329728</v>
      </c>
      <c r="K162" s="16">
        <f>الجدول336112[[#This Row],[إفرادي القطعة الواحدة]]+الجدول336112[[#This Row],[أجور الشحن للقطعة الواحدة]]</f>
        <v>2.0703297279999999</v>
      </c>
      <c r="L162" s="16">
        <f>الجدول336112[[#This Row],[العدد]]*الجدول336112[[#This Row],[إجمالي تكلفة القطعة الواحدة]]</f>
        <v>105.586816128</v>
      </c>
      <c r="M162" s="16" t="s">
        <v>5</v>
      </c>
      <c r="N162" s="18">
        <v>24</v>
      </c>
      <c r="O162" s="19"/>
      <c r="P162" s="18"/>
    </row>
    <row r="163" spans="1:16" s="20" customFormat="1" ht="45" customHeight="1" x14ac:dyDescent="0.2">
      <c r="A163" s="24"/>
      <c r="B163" s="15" t="str">
        <f>IF(الجدول336112[[#This Row],[اسم المسلّم]]="","",ROW()-8)</f>
        <v/>
      </c>
      <c r="C163" s="16"/>
      <c r="D163" s="17" t="s">
        <v>321</v>
      </c>
      <c r="E163" s="16" t="s">
        <v>298</v>
      </c>
      <c r="F163" s="16" t="s">
        <v>197</v>
      </c>
      <c r="G163" s="16" t="s">
        <v>341</v>
      </c>
      <c r="H163" s="16">
        <v>5</v>
      </c>
      <c r="I163" s="16">
        <v>1.67</v>
      </c>
      <c r="J163" s="16">
        <f>الجدول336112[[#This Row],[إفرادي القطعة الواحدة]]*0.2397184</f>
        <v>0.400329728</v>
      </c>
      <c r="K163" s="16">
        <f>الجدول336112[[#This Row],[إفرادي القطعة الواحدة]]+الجدول336112[[#This Row],[أجور الشحن للقطعة الواحدة]]</f>
        <v>2.0703297279999999</v>
      </c>
      <c r="L163" s="16">
        <f>الجدول336112[[#This Row],[العدد]]*الجدول336112[[#This Row],[إجمالي تكلفة القطعة الواحدة]]</f>
        <v>10.351648640000001</v>
      </c>
      <c r="M163" s="16" t="s">
        <v>5</v>
      </c>
      <c r="N163" s="18">
        <v>24</v>
      </c>
      <c r="O163" s="19"/>
      <c r="P163" s="18"/>
    </row>
    <row r="164" spans="1:16" s="20" customFormat="1" ht="45" customHeight="1" x14ac:dyDescent="0.2">
      <c r="A164" s="24"/>
      <c r="B164" s="15" t="str">
        <f>IF(الجدول336112[[#This Row],[اسم المسلّم]]="","",ROW()-8)</f>
        <v/>
      </c>
      <c r="C164" s="16"/>
      <c r="D164" s="17" t="s">
        <v>321</v>
      </c>
      <c r="E164" s="16" t="s">
        <v>298</v>
      </c>
      <c r="F164" s="16" t="s">
        <v>200</v>
      </c>
      <c r="G164" s="16" t="s">
        <v>341</v>
      </c>
      <c r="H164" s="16">
        <v>60</v>
      </c>
      <c r="I164" s="16">
        <v>1.67</v>
      </c>
      <c r="J164" s="16">
        <f>الجدول336112[[#This Row],[إفرادي القطعة الواحدة]]*0.2397184</f>
        <v>0.400329728</v>
      </c>
      <c r="K164" s="16">
        <f>الجدول336112[[#This Row],[إفرادي القطعة الواحدة]]+الجدول336112[[#This Row],[أجور الشحن للقطعة الواحدة]]</f>
        <v>2.0703297279999999</v>
      </c>
      <c r="L164" s="16">
        <f>الجدول336112[[#This Row],[العدد]]*الجدول336112[[#This Row],[إجمالي تكلفة القطعة الواحدة]]</f>
        <v>124.21978367999999</v>
      </c>
      <c r="M164" s="16" t="s">
        <v>5</v>
      </c>
      <c r="N164" s="18">
        <v>24</v>
      </c>
      <c r="O164" s="19"/>
      <c r="P164" s="18"/>
    </row>
    <row r="165" spans="1:16" s="20" customFormat="1" ht="45" customHeight="1" x14ac:dyDescent="0.2">
      <c r="A165" s="24"/>
      <c r="B165" s="15" t="str">
        <f>IF(الجدول336112[[#This Row],[اسم المسلّم]]="","",ROW()-8)</f>
        <v/>
      </c>
      <c r="C165" s="16"/>
      <c r="D165" s="17" t="s">
        <v>321</v>
      </c>
      <c r="E165" s="16" t="s">
        <v>298</v>
      </c>
      <c r="F165" s="16" t="s">
        <v>198</v>
      </c>
      <c r="G165" s="16" t="s">
        <v>341</v>
      </c>
      <c r="H165" s="16">
        <v>61</v>
      </c>
      <c r="I165" s="16">
        <v>1.67</v>
      </c>
      <c r="J165" s="16">
        <f>الجدول336112[[#This Row],[إفرادي القطعة الواحدة]]*0.2397184</f>
        <v>0.400329728</v>
      </c>
      <c r="K165" s="16">
        <f>الجدول336112[[#This Row],[إفرادي القطعة الواحدة]]+الجدول336112[[#This Row],[أجور الشحن للقطعة الواحدة]]</f>
        <v>2.0703297279999999</v>
      </c>
      <c r="L165" s="16">
        <f>الجدول336112[[#This Row],[العدد]]*الجدول336112[[#This Row],[إجمالي تكلفة القطعة الواحدة]]</f>
        <v>126.290113408</v>
      </c>
      <c r="M165" s="16" t="s">
        <v>5</v>
      </c>
      <c r="N165" s="18">
        <v>24</v>
      </c>
      <c r="O165" s="19"/>
      <c r="P165" s="18"/>
    </row>
    <row r="166" spans="1:16" s="20" customFormat="1" ht="45" customHeight="1" x14ac:dyDescent="0.2">
      <c r="A166" s="24"/>
      <c r="B166" s="15" t="str">
        <f>IF(الجدول336112[[#This Row],[اسم المسلّم]]="","",ROW()-8)</f>
        <v/>
      </c>
      <c r="C166" s="16"/>
      <c r="D166" s="17" t="s">
        <v>321</v>
      </c>
      <c r="E166" s="16" t="s">
        <v>298</v>
      </c>
      <c r="F166" s="16" t="s">
        <v>203</v>
      </c>
      <c r="G166" s="16" t="s">
        <v>341</v>
      </c>
      <c r="H166" s="16">
        <v>16</v>
      </c>
      <c r="I166" s="16">
        <v>1.67</v>
      </c>
      <c r="J166" s="16">
        <f>الجدول336112[[#This Row],[إفرادي القطعة الواحدة]]*0.2397184</f>
        <v>0.400329728</v>
      </c>
      <c r="K166" s="16">
        <f>الجدول336112[[#This Row],[إفرادي القطعة الواحدة]]+الجدول336112[[#This Row],[أجور الشحن للقطعة الواحدة]]</f>
        <v>2.0703297279999999</v>
      </c>
      <c r="L166" s="16">
        <f>الجدول336112[[#This Row],[العدد]]*الجدول336112[[#This Row],[إجمالي تكلفة القطعة الواحدة]]</f>
        <v>33.125275647999999</v>
      </c>
      <c r="M166" s="16" t="s">
        <v>5</v>
      </c>
      <c r="N166" s="18">
        <v>24</v>
      </c>
      <c r="O166" s="19"/>
      <c r="P166" s="18"/>
    </row>
    <row r="167" spans="1:16" s="20" customFormat="1" ht="45" customHeight="1" x14ac:dyDescent="0.2">
      <c r="A167" s="24"/>
      <c r="B167" s="15" t="str">
        <f>IF(الجدول336112[[#This Row],[اسم المسلّم]]="","",ROW()-8)</f>
        <v/>
      </c>
      <c r="C167" s="16"/>
      <c r="D167" s="17" t="s">
        <v>321</v>
      </c>
      <c r="E167" s="16" t="s">
        <v>298</v>
      </c>
      <c r="F167" s="16" t="s">
        <v>195</v>
      </c>
      <c r="G167" s="16" t="s">
        <v>341</v>
      </c>
      <c r="H167" s="16">
        <v>7</v>
      </c>
      <c r="I167" s="16">
        <v>1.67</v>
      </c>
      <c r="J167" s="16">
        <f>الجدول336112[[#This Row],[إفرادي القطعة الواحدة]]*0.2397184</f>
        <v>0.400329728</v>
      </c>
      <c r="K167" s="16">
        <f>الجدول336112[[#This Row],[إفرادي القطعة الواحدة]]+الجدول336112[[#This Row],[أجور الشحن للقطعة الواحدة]]</f>
        <v>2.0703297279999999</v>
      </c>
      <c r="L167" s="16">
        <f>الجدول336112[[#This Row],[العدد]]*الجدول336112[[#This Row],[إجمالي تكلفة القطعة الواحدة]]</f>
        <v>14.492308095999999</v>
      </c>
      <c r="M167" s="16" t="s">
        <v>5</v>
      </c>
      <c r="N167" s="18">
        <v>24</v>
      </c>
      <c r="O167" s="19"/>
      <c r="P167" s="18"/>
    </row>
    <row r="168" spans="1:16" s="20" customFormat="1" ht="45" customHeight="1" x14ac:dyDescent="0.2">
      <c r="A168" s="24"/>
      <c r="B168" s="15" t="str">
        <f>IF(الجدول336112[[#This Row],[اسم المسلّم]]="","",ROW()-8)</f>
        <v/>
      </c>
      <c r="C168" s="16"/>
      <c r="D168" s="17" t="s">
        <v>321</v>
      </c>
      <c r="E168" s="16" t="s">
        <v>298</v>
      </c>
      <c r="F168" s="16" t="s">
        <v>191</v>
      </c>
      <c r="G168" s="16" t="s">
        <v>341</v>
      </c>
      <c r="H168" s="16">
        <v>25</v>
      </c>
      <c r="I168" s="16">
        <v>1.67</v>
      </c>
      <c r="J168" s="16">
        <f>الجدول336112[[#This Row],[إفرادي القطعة الواحدة]]*0.2397184</f>
        <v>0.400329728</v>
      </c>
      <c r="K168" s="16">
        <f>الجدول336112[[#This Row],[إفرادي القطعة الواحدة]]+الجدول336112[[#This Row],[أجور الشحن للقطعة الواحدة]]</f>
        <v>2.0703297279999999</v>
      </c>
      <c r="L168" s="16">
        <f>الجدول336112[[#This Row],[العدد]]*الجدول336112[[#This Row],[إجمالي تكلفة القطعة الواحدة]]</f>
        <v>51.758243199999995</v>
      </c>
      <c r="M168" s="16" t="s">
        <v>5</v>
      </c>
      <c r="N168" s="18">
        <v>24</v>
      </c>
      <c r="O168" s="19"/>
      <c r="P168" s="18"/>
    </row>
    <row r="169" spans="1:16" s="20" customFormat="1" ht="45" customHeight="1" x14ac:dyDescent="0.2">
      <c r="A169" s="24"/>
      <c r="B169" s="15" t="str">
        <f>IF(الجدول336112[[#This Row],[اسم المسلّم]]="","",ROW()-8)</f>
        <v/>
      </c>
      <c r="C169" s="16"/>
      <c r="D169" s="17" t="s">
        <v>321</v>
      </c>
      <c r="E169" s="16" t="s">
        <v>298</v>
      </c>
      <c r="F169" s="16" t="s">
        <v>194</v>
      </c>
      <c r="G169" s="16" t="s">
        <v>341</v>
      </c>
      <c r="H169" s="16">
        <v>2</v>
      </c>
      <c r="I169" s="16">
        <v>1.67</v>
      </c>
      <c r="J169" s="16">
        <f>الجدول336112[[#This Row],[إفرادي القطعة الواحدة]]*0.2397184</f>
        <v>0.400329728</v>
      </c>
      <c r="K169" s="16">
        <f>الجدول336112[[#This Row],[إفرادي القطعة الواحدة]]+الجدول336112[[#This Row],[أجور الشحن للقطعة الواحدة]]</f>
        <v>2.0703297279999999</v>
      </c>
      <c r="L169" s="16">
        <f>الجدول336112[[#This Row],[العدد]]*الجدول336112[[#This Row],[إجمالي تكلفة القطعة الواحدة]]</f>
        <v>4.1406594559999998</v>
      </c>
      <c r="M169" s="16" t="s">
        <v>5</v>
      </c>
      <c r="N169" s="18">
        <v>24</v>
      </c>
      <c r="O169" s="19"/>
      <c r="P169" s="18"/>
    </row>
    <row r="170" spans="1:16" s="20" customFormat="1" ht="45" customHeight="1" x14ac:dyDescent="0.2">
      <c r="A170" s="24"/>
      <c r="B170" s="15" t="str">
        <f>IF(الجدول336112[[#This Row],[اسم المسلّم]]="","",ROW()-8)</f>
        <v/>
      </c>
      <c r="C170" s="16"/>
      <c r="D170" s="17" t="s">
        <v>321</v>
      </c>
      <c r="E170" s="16" t="s">
        <v>298</v>
      </c>
      <c r="F170" s="16" t="s">
        <v>202</v>
      </c>
      <c r="G170" s="16" t="s">
        <v>341</v>
      </c>
      <c r="H170" s="16">
        <v>21</v>
      </c>
      <c r="I170" s="16">
        <v>1.67</v>
      </c>
      <c r="J170" s="16">
        <f>الجدول336112[[#This Row],[إفرادي القطعة الواحدة]]*0.2397184</f>
        <v>0.400329728</v>
      </c>
      <c r="K170" s="16">
        <f>الجدول336112[[#This Row],[إفرادي القطعة الواحدة]]+الجدول336112[[#This Row],[أجور الشحن للقطعة الواحدة]]</f>
        <v>2.0703297279999999</v>
      </c>
      <c r="L170" s="16">
        <f>الجدول336112[[#This Row],[العدد]]*الجدول336112[[#This Row],[إجمالي تكلفة القطعة الواحدة]]</f>
        <v>43.476924287999999</v>
      </c>
      <c r="M170" s="16" t="s">
        <v>5</v>
      </c>
      <c r="N170" s="18">
        <v>24</v>
      </c>
      <c r="O170" s="19"/>
      <c r="P170" s="18"/>
    </row>
    <row r="171" spans="1:16" s="20" customFormat="1" ht="45" customHeight="1" x14ac:dyDescent="0.2">
      <c r="A171" s="24"/>
      <c r="B171" s="15" t="str">
        <f>IF(الجدول336112[[#This Row],[اسم المسلّم]]="","",ROW()-8)</f>
        <v/>
      </c>
      <c r="C171" s="16"/>
      <c r="D171" s="17"/>
      <c r="E171" s="16" t="s">
        <v>311</v>
      </c>
      <c r="F171" s="16" t="s">
        <v>448</v>
      </c>
      <c r="G171" s="16" t="s">
        <v>341</v>
      </c>
      <c r="H171" s="16">
        <v>200</v>
      </c>
      <c r="I171" s="16">
        <v>0.33</v>
      </c>
      <c r="J171" s="16">
        <f>الجدول336112[[#This Row],[إفرادي القطعة الواحدة]]*0.2397184</f>
        <v>7.9107072000000001E-2</v>
      </c>
      <c r="K171" s="16">
        <f>الجدول336112[[#This Row],[إفرادي القطعة الواحدة]]+الجدول336112[[#This Row],[أجور الشحن للقطعة الواحدة]]</f>
        <v>0.40910707200000002</v>
      </c>
      <c r="L171" s="16">
        <f>الجدول336112[[#This Row],[العدد]]*الجدول336112[[#This Row],[إجمالي تكلفة القطعة الواحدة]]</f>
        <v>81.821414400000009</v>
      </c>
      <c r="M171" s="16" t="s">
        <v>5</v>
      </c>
      <c r="N171" s="18">
        <v>24</v>
      </c>
      <c r="O171" s="19"/>
      <c r="P171" s="18"/>
    </row>
    <row r="172" spans="1:16" s="20" customFormat="1" ht="45" customHeight="1" x14ac:dyDescent="0.2">
      <c r="A172" s="24"/>
      <c r="B172" s="15" t="str">
        <f>IF(الجدول336112[[#This Row],[اسم المسلّم]]="","",ROW()-8)</f>
        <v/>
      </c>
      <c r="C172" s="16"/>
      <c r="D172" s="17" t="s">
        <v>321</v>
      </c>
      <c r="E172" s="16" t="s">
        <v>298</v>
      </c>
      <c r="F172" s="16" t="s">
        <v>193</v>
      </c>
      <c r="G172" s="16" t="s">
        <v>341</v>
      </c>
      <c r="H172" s="16">
        <v>23</v>
      </c>
      <c r="I172" s="16">
        <v>1.67</v>
      </c>
      <c r="J172" s="16">
        <f>الجدول336112[[#This Row],[إفرادي القطعة الواحدة]]*0.2397184</f>
        <v>0.400329728</v>
      </c>
      <c r="K172" s="16">
        <f>الجدول336112[[#This Row],[إفرادي القطعة الواحدة]]+الجدول336112[[#This Row],[أجور الشحن للقطعة الواحدة]]</f>
        <v>2.0703297279999999</v>
      </c>
      <c r="L172" s="16">
        <f>الجدول336112[[#This Row],[العدد]]*الجدول336112[[#This Row],[إجمالي تكلفة القطعة الواحدة]]</f>
        <v>47.617583744000001</v>
      </c>
      <c r="M172" s="16" t="s">
        <v>5</v>
      </c>
      <c r="N172" s="18">
        <v>24</v>
      </c>
      <c r="O172" s="19"/>
      <c r="P172" s="18"/>
    </row>
    <row r="173" spans="1:16" s="20" customFormat="1" ht="45" customHeight="1" x14ac:dyDescent="0.2">
      <c r="A173" s="24"/>
      <c r="B173" s="15" t="str">
        <f>IF(الجدول336112[[#This Row],[اسم المسلّم]]="","",ROW()-8)</f>
        <v/>
      </c>
      <c r="C173" s="16"/>
      <c r="D173" s="17" t="s">
        <v>352</v>
      </c>
      <c r="E173" s="16" t="s">
        <v>313</v>
      </c>
      <c r="F173" s="16" t="s">
        <v>449</v>
      </c>
      <c r="G173" s="16" t="s">
        <v>341</v>
      </c>
      <c r="H173" s="16">
        <v>250</v>
      </c>
      <c r="I173" s="16">
        <v>21.48</v>
      </c>
      <c r="J173" s="16">
        <f>الجدول336112[[#This Row],[إفرادي القطعة الواحدة]]*0.2397184</f>
        <v>5.1491512320000004</v>
      </c>
      <c r="K173" s="16">
        <f>الجدول336112[[#This Row],[إفرادي القطعة الواحدة]]+الجدول336112[[#This Row],[أجور الشحن للقطعة الواحدة]]</f>
        <v>26.629151232000002</v>
      </c>
      <c r="L173" s="16">
        <f>الجدول336112[[#This Row],[العدد]]*الجدول336112[[#This Row],[إجمالي تكلفة القطعة الواحدة]]</f>
        <v>6657.287808</v>
      </c>
      <c r="M173" s="16" t="s">
        <v>5</v>
      </c>
      <c r="N173" s="18">
        <v>25</v>
      </c>
      <c r="O173" s="19"/>
      <c r="P173" s="18"/>
    </row>
    <row r="174" spans="1:16" s="20" customFormat="1" ht="45" customHeight="1" x14ac:dyDescent="0.2">
      <c r="A174" s="24"/>
      <c r="B174" s="15" t="str">
        <f>IF(الجدول336112[[#This Row],[اسم المسلّم]]="","",ROW()-8)</f>
        <v/>
      </c>
      <c r="C174" s="16"/>
      <c r="D174" s="17" t="s">
        <v>320</v>
      </c>
      <c r="E174" s="16" t="s">
        <v>297</v>
      </c>
      <c r="F174" s="16" t="s">
        <v>450</v>
      </c>
      <c r="G174" s="16" t="s">
        <v>341</v>
      </c>
      <c r="H174" s="16">
        <v>30</v>
      </c>
      <c r="I174" s="16">
        <v>85</v>
      </c>
      <c r="J174" s="16">
        <f>الجدول336112[[#This Row],[إفرادي القطعة الواحدة]]*0.2397184</f>
        <v>20.376064</v>
      </c>
      <c r="K174" s="16">
        <f>الجدول336112[[#This Row],[إفرادي القطعة الواحدة]]+الجدول336112[[#This Row],[أجور الشحن للقطعة الواحدة]]</f>
        <v>105.376064</v>
      </c>
      <c r="L174" s="16">
        <f>الجدول336112[[#This Row],[العدد]]*الجدول336112[[#This Row],[إجمالي تكلفة القطعة الواحدة]]</f>
        <v>3161.2819199999999</v>
      </c>
      <c r="M174" s="16" t="s">
        <v>5</v>
      </c>
      <c r="N174" s="18">
        <v>26</v>
      </c>
      <c r="O174" s="19"/>
      <c r="P174" s="18"/>
    </row>
    <row r="175" spans="1:16" s="20" customFormat="1" ht="45" customHeight="1" x14ac:dyDescent="0.2">
      <c r="A175" s="24"/>
      <c r="B175" s="15" t="str">
        <f>IF(الجدول336112[[#This Row],[اسم المسلّم]]="","",ROW()-8)</f>
        <v/>
      </c>
      <c r="C175" s="16"/>
      <c r="D175" s="17" t="s">
        <v>320</v>
      </c>
      <c r="E175" s="16" t="s">
        <v>297</v>
      </c>
      <c r="F175" s="16" t="s">
        <v>451</v>
      </c>
      <c r="G175" s="16" t="s">
        <v>341</v>
      </c>
      <c r="H175" s="16">
        <v>10</v>
      </c>
      <c r="I175" s="16">
        <v>5.63</v>
      </c>
      <c r="J175" s="16">
        <f>الجدول336112[[#This Row],[إفرادي القطعة الواحدة]]*0.2397184</f>
        <v>1.349614592</v>
      </c>
      <c r="K175" s="16">
        <f>الجدول336112[[#This Row],[إفرادي القطعة الواحدة]]+الجدول336112[[#This Row],[أجور الشحن للقطعة الواحدة]]</f>
        <v>6.9796145919999999</v>
      </c>
      <c r="L175" s="16">
        <f>الجدول336112[[#This Row],[العدد]]*الجدول336112[[#This Row],[إجمالي تكلفة القطعة الواحدة]]</f>
        <v>69.796145920000001</v>
      </c>
      <c r="M175" s="16" t="s">
        <v>5</v>
      </c>
      <c r="N175" s="18">
        <v>26</v>
      </c>
      <c r="O175" s="19"/>
      <c r="P175" s="18"/>
    </row>
    <row r="176" spans="1:16" s="20" customFormat="1" ht="45" customHeight="1" x14ac:dyDescent="0.2">
      <c r="A176" s="24"/>
      <c r="B176" s="15" t="str">
        <f>IF(الجدول336112[[#This Row],[اسم المسلّم]]="","",ROW()-8)</f>
        <v/>
      </c>
      <c r="C176" s="16"/>
      <c r="D176" s="17" t="s">
        <v>320</v>
      </c>
      <c r="E176" s="16" t="s">
        <v>297</v>
      </c>
      <c r="F176" s="16" t="s">
        <v>190</v>
      </c>
      <c r="G176" s="16" t="s">
        <v>341</v>
      </c>
      <c r="H176" s="16">
        <v>27</v>
      </c>
      <c r="I176" s="16">
        <v>16.670000000000002</v>
      </c>
      <c r="J176" s="16">
        <f>الجدول336112[[#This Row],[إفرادي القطعة الواحدة]]*0.2397184</f>
        <v>3.9961057280000003</v>
      </c>
      <c r="K176" s="16">
        <f>الجدول336112[[#This Row],[إفرادي القطعة الواحدة]]+الجدول336112[[#This Row],[أجور الشحن للقطعة الواحدة]]</f>
        <v>20.666105728000002</v>
      </c>
      <c r="L176" s="16">
        <f>الجدول336112[[#This Row],[العدد]]*الجدول336112[[#This Row],[إجمالي تكلفة القطعة الواحدة]]</f>
        <v>557.98485465600004</v>
      </c>
      <c r="M176" s="16" t="s">
        <v>5</v>
      </c>
      <c r="N176" s="18">
        <v>26</v>
      </c>
      <c r="O176" s="19"/>
      <c r="P176" s="18"/>
    </row>
    <row r="177" spans="1:16" s="20" customFormat="1" ht="45" customHeight="1" x14ac:dyDescent="0.2">
      <c r="A177" s="24"/>
      <c r="B177" s="15" t="str">
        <f>IF(الجدول336112[[#This Row],[اسم المسلّم]]="","",ROW()-8)</f>
        <v/>
      </c>
      <c r="C177" s="16"/>
      <c r="D177" s="17" t="s">
        <v>318</v>
      </c>
      <c r="E177" s="16" t="s">
        <v>295</v>
      </c>
      <c r="F177" s="16" t="s">
        <v>284</v>
      </c>
      <c r="G177" s="16" t="s">
        <v>341</v>
      </c>
      <c r="H177" s="16">
        <v>4600</v>
      </c>
      <c r="I177" s="16">
        <v>0.37</v>
      </c>
      <c r="J177" s="16">
        <f>الجدول336112[[#This Row],[إفرادي القطعة الواحدة]]*0.2397184</f>
        <v>8.8695808000000001E-2</v>
      </c>
      <c r="K177" s="16">
        <f>الجدول336112[[#This Row],[إفرادي القطعة الواحدة]]+الجدول336112[[#This Row],[أجور الشحن للقطعة الواحدة]]</f>
        <v>0.45869580799999998</v>
      </c>
      <c r="L177" s="16">
        <f>الجدول336112[[#This Row],[العدد]]*الجدول336112[[#This Row],[إجمالي تكلفة القطعة الواحدة]]</f>
        <v>2110.0007167999997</v>
      </c>
      <c r="M177" s="16" t="s">
        <v>5</v>
      </c>
      <c r="N177" s="18">
        <v>27</v>
      </c>
      <c r="O177" s="19"/>
      <c r="P177" s="18"/>
    </row>
    <row r="178" spans="1:16" s="20" customFormat="1" ht="45" customHeight="1" x14ac:dyDescent="0.2">
      <c r="A178" s="24"/>
      <c r="B178" s="15" t="str">
        <f>IF(الجدول336112[[#This Row],[اسم المسلّم]]="","",ROW()-8)</f>
        <v/>
      </c>
      <c r="C178" s="16"/>
      <c r="D178" s="17" t="s">
        <v>318</v>
      </c>
      <c r="E178" s="16" t="s">
        <v>295</v>
      </c>
      <c r="F178" s="16" t="s">
        <v>284</v>
      </c>
      <c r="G178" s="16" t="s">
        <v>341</v>
      </c>
      <c r="H178" s="16">
        <v>400</v>
      </c>
      <c r="I178" s="16">
        <v>0.37</v>
      </c>
      <c r="J178" s="16">
        <f>الجدول336112[[#This Row],[إفرادي القطعة الواحدة]]*0.2397184</f>
        <v>8.8695808000000001E-2</v>
      </c>
      <c r="K178" s="16">
        <f>الجدول336112[[#This Row],[إفرادي القطعة الواحدة]]+الجدول336112[[#This Row],[أجور الشحن للقطعة الواحدة]]</f>
        <v>0.45869580799999998</v>
      </c>
      <c r="L178" s="16">
        <f>الجدول336112[[#This Row],[العدد]]*الجدول336112[[#This Row],[إجمالي تكلفة القطعة الواحدة]]</f>
        <v>183.47832320000001</v>
      </c>
      <c r="M178" s="16" t="s">
        <v>5</v>
      </c>
      <c r="N178" s="18">
        <v>27</v>
      </c>
      <c r="O178" s="19"/>
      <c r="P178" s="18"/>
    </row>
    <row r="179" spans="1:16" s="20" customFormat="1" ht="45" customHeight="1" x14ac:dyDescent="0.2">
      <c r="A179" s="24"/>
      <c r="B179" s="15" t="str">
        <f>IF(الجدول336112[[#This Row],[اسم المسلّم]]="","",ROW()-8)</f>
        <v/>
      </c>
      <c r="C179" s="16"/>
      <c r="D179" s="17" t="s">
        <v>319</v>
      </c>
      <c r="E179" s="16" t="s">
        <v>296</v>
      </c>
      <c r="F179" s="16" t="s">
        <v>452</v>
      </c>
      <c r="G179" s="16" t="s">
        <v>341</v>
      </c>
      <c r="H179" s="16">
        <v>5000</v>
      </c>
      <c r="I179" s="16">
        <v>0.16</v>
      </c>
      <c r="J179" s="16">
        <f>الجدول336112[[#This Row],[إفرادي القطعة الواحدة]]*0.2397184</f>
        <v>3.8354944000000002E-2</v>
      </c>
      <c r="K179" s="16">
        <f>الجدول336112[[#This Row],[إفرادي القطعة الواحدة]]+الجدول336112[[#This Row],[أجور الشحن للقطعة الواحدة]]</f>
        <v>0.19835494400000001</v>
      </c>
      <c r="L179" s="16">
        <f>الجدول336112[[#This Row],[العدد]]*الجدول336112[[#This Row],[إجمالي تكلفة القطعة الواحدة]]</f>
        <v>991.77472</v>
      </c>
      <c r="M179" s="16" t="s">
        <v>5</v>
      </c>
      <c r="N179" s="18">
        <v>27</v>
      </c>
      <c r="O179" s="19"/>
      <c r="P179" s="18"/>
    </row>
    <row r="180" spans="1:16" s="20" customFormat="1" ht="45" customHeight="1" x14ac:dyDescent="0.2">
      <c r="A180" s="24"/>
      <c r="B180" s="15" t="str">
        <f>IF(الجدول336112[[#This Row],[اسم المسلّم]]="","",ROW()-8)</f>
        <v/>
      </c>
      <c r="C180" s="16"/>
      <c r="D180" s="17" t="s">
        <v>318</v>
      </c>
      <c r="E180" s="16" t="s">
        <v>295</v>
      </c>
      <c r="F180" s="16" t="s">
        <v>290</v>
      </c>
      <c r="G180" s="16" t="s">
        <v>341</v>
      </c>
      <c r="H180" s="16">
        <v>500</v>
      </c>
      <c r="I180" s="16">
        <v>1.05</v>
      </c>
      <c r="J180" s="16">
        <f>الجدول336112[[#This Row],[إفرادي القطعة الواحدة]]*0.2397184</f>
        <v>0.25170431999999998</v>
      </c>
      <c r="K180" s="16">
        <f>الجدول336112[[#This Row],[إفرادي القطعة الواحدة]]+الجدول336112[[#This Row],[أجور الشحن للقطعة الواحدة]]</f>
        <v>1.30170432</v>
      </c>
      <c r="L180" s="16">
        <f>الجدول336112[[#This Row],[العدد]]*الجدول336112[[#This Row],[إجمالي تكلفة القطعة الواحدة]]</f>
        <v>650.85216000000003</v>
      </c>
      <c r="M180" s="16" t="s">
        <v>5</v>
      </c>
      <c r="N180" s="18">
        <v>27</v>
      </c>
      <c r="O180" s="19"/>
      <c r="P180" s="18"/>
    </row>
    <row r="181" spans="1:16" s="20" customFormat="1" ht="45" customHeight="1" x14ac:dyDescent="0.2">
      <c r="A181" s="24"/>
      <c r="B181" s="15" t="str">
        <f>IF(الجدول336112[[#This Row],[اسم المسلّم]]="","",ROW()-8)</f>
        <v/>
      </c>
      <c r="C181" s="16"/>
      <c r="D181" s="17" t="s">
        <v>318</v>
      </c>
      <c r="E181" s="16" t="s">
        <v>295</v>
      </c>
      <c r="F181" s="16" t="s">
        <v>288</v>
      </c>
      <c r="G181" s="16" t="s">
        <v>341</v>
      </c>
      <c r="H181" s="16">
        <v>250</v>
      </c>
      <c r="I181" s="16">
        <v>0.99</v>
      </c>
      <c r="J181" s="16">
        <f>الجدول336112[[#This Row],[إفرادي القطعة الواحدة]]*0.2397184</f>
        <v>0.237321216</v>
      </c>
      <c r="K181" s="16">
        <f>الجدول336112[[#This Row],[إفرادي القطعة الواحدة]]+الجدول336112[[#This Row],[أجور الشحن للقطعة الواحدة]]</f>
        <v>1.227321216</v>
      </c>
      <c r="L181" s="16">
        <f>الجدول336112[[#This Row],[العدد]]*الجدول336112[[#This Row],[إجمالي تكلفة القطعة الواحدة]]</f>
        <v>306.83030400000001</v>
      </c>
      <c r="M181" s="16" t="s">
        <v>5</v>
      </c>
      <c r="N181" s="18">
        <v>27</v>
      </c>
      <c r="O181" s="19"/>
      <c r="P181" s="18"/>
    </row>
    <row r="182" spans="1:16" s="20" customFormat="1" ht="45" customHeight="1" x14ac:dyDescent="0.2">
      <c r="A182" s="24"/>
      <c r="B182" s="15" t="str">
        <f>IF(الجدول336112[[#This Row],[اسم المسلّم]]="","",ROW()-8)</f>
        <v/>
      </c>
      <c r="C182" s="16"/>
      <c r="D182" s="17" t="s">
        <v>318</v>
      </c>
      <c r="E182" s="16" t="s">
        <v>295</v>
      </c>
      <c r="F182" s="16" t="s">
        <v>291</v>
      </c>
      <c r="G182" s="16" t="s">
        <v>341</v>
      </c>
      <c r="H182" s="16">
        <v>250</v>
      </c>
      <c r="I182" s="16">
        <v>0.99</v>
      </c>
      <c r="J182" s="16">
        <f>الجدول336112[[#This Row],[إفرادي القطعة الواحدة]]*0.2397184</f>
        <v>0.237321216</v>
      </c>
      <c r="K182" s="16">
        <f>الجدول336112[[#This Row],[إفرادي القطعة الواحدة]]+الجدول336112[[#This Row],[أجور الشحن للقطعة الواحدة]]</f>
        <v>1.227321216</v>
      </c>
      <c r="L182" s="16">
        <f>الجدول336112[[#This Row],[العدد]]*الجدول336112[[#This Row],[إجمالي تكلفة القطعة الواحدة]]</f>
        <v>306.83030400000001</v>
      </c>
      <c r="M182" s="16" t="s">
        <v>5</v>
      </c>
      <c r="N182" s="18">
        <v>27</v>
      </c>
      <c r="O182" s="19"/>
      <c r="P182" s="18"/>
    </row>
    <row r="183" spans="1:16" s="20" customFormat="1" ht="45" customHeight="1" x14ac:dyDescent="0.2">
      <c r="A183" s="24"/>
      <c r="B183" s="15" t="str">
        <f>IF(الجدول336112[[#This Row],[اسم المسلّم]]="","",ROW()-8)</f>
        <v/>
      </c>
      <c r="C183" s="16"/>
      <c r="D183" s="17" t="s">
        <v>318</v>
      </c>
      <c r="E183" s="16" t="s">
        <v>295</v>
      </c>
      <c r="F183" s="16" t="s">
        <v>289</v>
      </c>
      <c r="G183" s="16" t="s">
        <v>341</v>
      </c>
      <c r="H183" s="16">
        <v>400</v>
      </c>
      <c r="I183" s="16">
        <v>0.99</v>
      </c>
      <c r="J183" s="16">
        <f>الجدول336112[[#This Row],[إفرادي القطعة الواحدة]]*0.2397184</f>
        <v>0.237321216</v>
      </c>
      <c r="K183" s="16">
        <f>الجدول336112[[#This Row],[إفرادي القطعة الواحدة]]+الجدول336112[[#This Row],[أجور الشحن للقطعة الواحدة]]</f>
        <v>1.227321216</v>
      </c>
      <c r="L183" s="16">
        <f>الجدول336112[[#This Row],[العدد]]*الجدول336112[[#This Row],[إجمالي تكلفة القطعة الواحدة]]</f>
        <v>490.9284864</v>
      </c>
      <c r="M183" s="16" t="s">
        <v>5</v>
      </c>
      <c r="N183" s="18">
        <v>27</v>
      </c>
      <c r="O183" s="19"/>
      <c r="P183" s="18"/>
    </row>
    <row r="184" spans="1:16" s="20" customFormat="1" ht="45" customHeight="1" x14ac:dyDescent="0.2">
      <c r="A184" s="24"/>
      <c r="B184" s="15" t="str">
        <f>IF(الجدول336112[[#This Row],[اسم المسلّم]]="","",ROW()-8)</f>
        <v/>
      </c>
      <c r="C184" s="16"/>
      <c r="D184" s="17" t="s">
        <v>318</v>
      </c>
      <c r="E184" s="16" t="s">
        <v>295</v>
      </c>
      <c r="F184" s="16" t="s">
        <v>287</v>
      </c>
      <c r="G184" s="16" t="s">
        <v>341</v>
      </c>
      <c r="H184" s="16">
        <v>250</v>
      </c>
      <c r="I184" s="16">
        <v>0.99</v>
      </c>
      <c r="J184" s="16">
        <f>الجدول336112[[#This Row],[إفرادي القطعة الواحدة]]*0.2397184</f>
        <v>0.237321216</v>
      </c>
      <c r="K184" s="16">
        <f>الجدول336112[[#This Row],[إفرادي القطعة الواحدة]]+الجدول336112[[#This Row],[أجور الشحن للقطعة الواحدة]]</f>
        <v>1.227321216</v>
      </c>
      <c r="L184" s="16">
        <f>الجدول336112[[#This Row],[العدد]]*الجدول336112[[#This Row],[إجمالي تكلفة القطعة الواحدة]]</f>
        <v>306.83030400000001</v>
      </c>
      <c r="M184" s="16" t="s">
        <v>5</v>
      </c>
      <c r="N184" s="18">
        <v>27</v>
      </c>
      <c r="O184" s="19"/>
      <c r="P184" s="18"/>
    </row>
    <row r="185" spans="1:16" s="20" customFormat="1" ht="45" customHeight="1" x14ac:dyDescent="0.2">
      <c r="A185" s="24"/>
      <c r="B185" s="15" t="str">
        <f>IF(الجدول336112[[#This Row],[اسم المسلّم]]="","",ROW()-8)</f>
        <v/>
      </c>
      <c r="C185" s="16"/>
      <c r="D185" s="17" t="s">
        <v>318</v>
      </c>
      <c r="E185" s="16" t="s">
        <v>295</v>
      </c>
      <c r="F185" s="16" t="s">
        <v>285</v>
      </c>
      <c r="G185" s="16" t="s">
        <v>341</v>
      </c>
      <c r="H185" s="16">
        <v>2500</v>
      </c>
      <c r="I185" s="16">
        <v>0.43</v>
      </c>
      <c r="J185" s="16">
        <f>الجدول336112[[#This Row],[إفرادي القطعة الواحدة]]*0.2397184</f>
        <v>0.10307891199999999</v>
      </c>
      <c r="K185" s="16">
        <f>الجدول336112[[#This Row],[إفرادي القطعة الواحدة]]+الجدول336112[[#This Row],[أجور الشحن للقطعة الواحدة]]</f>
        <v>0.53307891200000002</v>
      </c>
      <c r="L185" s="16">
        <f>الجدول336112[[#This Row],[العدد]]*الجدول336112[[#This Row],[إجمالي تكلفة القطعة الواحدة]]</f>
        <v>1332.6972800000001</v>
      </c>
      <c r="M185" s="16" t="s">
        <v>5</v>
      </c>
      <c r="N185" s="18">
        <v>27</v>
      </c>
      <c r="O185" s="19"/>
      <c r="P185" s="18"/>
    </row>
    <row r="186" spans="1:16" s="20" customFormat="1" ht="45" customHeight="1" x14ac:dyDescent="0.2">
      <c r="A186" s="24"/>
      <c r="B186" s="15" t="str">
        <f>IF(الجدول336112[[#This Row],[اسم المسلّم]]="","",ROW()-8)</f>
        <v/>
      </c>
      <c r="C186" s="16"/>
      <c r="D186" s="17" t="s">
        <v>318</v>
      </c>
      <c r="E186" s="16" t="s">
        <v>295</v>
      </c>
      <c r="F186" s="16" t="s">
        <v>286</v>
      </c>
      <c r="G186" s="16" t="s">
        <v>341</v>
      </c>
      <c r="H186" s="16">
        <v>2500</v>
      </c>
      <c r="I186" s="16">
        <v>0.4</v>
      </c>
      <c r="J186" s="16">
        <f>الجدول336112[[#This Row],[إفرادي القطعة الواحدة]]*0.2397184</f>
        <v>9.5887360000000005E-2</v>
      </c>
      <c r="K186" s="16">
        <f>الجدول336112[[#This Row],[إفرادي القطعة الواحدة]]+الجدول336112[[#This Row],[أجور الشحن للقطعة الواحدة]]</f>
        <v>0.49588736</v>
      </c>
      <c r="L186" s="16">
        <f>الجدول336112[[#This Row],[العدد]]*الجدول336112[[#This Row],[إجمالي تكلفة القطعة الواحدة]]</f>
        <v>1239.7184</v>
      </c>
      <c r="M186" s="16" t="s">
        <v>5</v>
      </c>
      <c r="N186" s="18">
        <v>27</v>
      </c>
      <c r="O186" s="19"/>
      <c r="P186" s="18"/>
    </row>
    <row r="187" spans="1:16" s="20" customFormat="1" ht="45" customHeight="1" x14ac:dyDescent="0.2">
      <c r="A187" s="24"/>
      <c r="B187" s="15" t="str">
        <f>IF(الجدول336112[[#This Row],[اسم المسلّم]]="","",ROW()-8)</f>
        <v/>
      </c>
      <c r="C187" s="16"/>
      <c r="D187" s="17" t="s">
        <v>318</v>
      </c>
      <c r="E187" s="16" t="s">
        <v>295</v>
      </c>
      <c r="F187" s="16" t="s">
        <v>172</v>
      </c>
      <c r="G187" s="16" t="s">
        <v>341</v>
      </c>
      <c r="H187" s="16">
        <v>4</v>
      </c>
      <c r="I187" s="16">
        <v>25</v>
      </c>
      <c r="J187" s="16">
        <f>الجدول336112[[#This Row],[إفرادي القطعة الواحدة]]*0.2397184</f>
        <v>5.9929600000000001</v>
      </c>
      <c r="K187" s="16">
        <f>الجدول336112[[#This Row],[إفرادي القطعة الواحدة]]+الجدول336112[[#This Row],[أجور الشحن للقطعة الواحدة]]</f>
        <v>30.99296</v>
      </c>
      <c r="L187" s="16">
        <f>الجدول336112[[#This Row],[العدد]]*الجدول336112[[#This Row],[إجمالي تكلفة القطعة الواحدة]]</f>
        <v>123.97184</v>
      </c>
      <c r="M187" s="16" t="s">
        <v>5</v>
      </c>
      <c r="N187" s="18">
        <v>27</v>
      </c>
      <c r="O187" s="19"/>
      <c r="P187" s="18"/>
    </row>
    <row r="188" spans="1:16" s="20" customFormat="1" ht="45" customHeight="1" x14ac:dyDescent="0.2">
      <c r="A188" s="24"/>
      <c r="B188" s="15" t="str">
        <f>IF(الجدول336112[[#This Row],[اسم المسلّم]]="","",ROW()-8)</f>
        <v/>
      </c>
      <c r="C188" s="16"/>
      <c r="D188" s="17" t="s">
        <v>454</v>
      </c>
      <c r="E188" s="16" t="s">
        <v>455</v>
      </c>
      <c r="F188" s="16" t="s">
        <v>453</v>
      </c>
      <c r="G188" s="16" t="s">
        <v>341</v>
      </c>
      <c r="H188" s="16">
        <v>42400</v>
      </c>
      <c r="I188" s="16">
        <v>0.149254</v>
      </c>
      <c r="J188" s="16">
        <f>الجدول336112[[#This Row],[إفرادي القطعة الواحدة]]*0.2397184</f>
        <v>3.5778930073600002E-2</v>
      </c>
      <c r="K188" s="16">
        <f>الجدول336112[[#This Row],[إفرادي القطعة الواحدة]]+الجدول336112[[#This Row],[أجور الشحن للقطعة الواحدة]]</f>
        <v>0.1850329300736</v>
      </c>
      <c r="L188" s="16">
        <f>الجدول336112[[#This Row],[العدد]]*الجدول336112[[#This Row],[إجمالي تكلفة القطعة الواحدة]]</f>
        <v>7845.3962351206401</v>
      </c>
      <c r="M188" s="16" t="s">
        <v>5</v>
      </c>
      <c r="N188" s="18">
        <v>28</v>
      </c>
      <c r="O188" s="19"/>
      <c r="P188" s="18"/>
    </row>
    <row r="189" spans="1:16" s="20" customFormat="1" ht="45" customHeight="1" x14ac:dyDescent="0.2">
      <c r="A189" s="24"/>
      <c r="B189" s="15" t="str">
        <f>IF(الجدول336112[[#This Row],[اسم المسلّم]]="","",ROW()-8)</f>
        <v/>
      </c>
      <c r="C189" s="16"/>
      <c r="D189" s="17" t="s">
        <v>457</v>
      </c>
      <c r="E189" s="16" t="s">
        <v>456</v>
      </c>
      <c r="F189" s="16" t="s">
        <v>458</v>
      </c>
      <c r="G189" s="16" t="s">
        <v>375</v>
      </c>
      <c r="H189" s="16">
        <v>100</v>
      </c>
      <c r="I189" s="16">
        <v>5</v>
      </c>
      <c r="J189" s="16">
        <f>الجدول336112[[#This Row],[إفرادي القطعة الواحدة]]*0.2397184</f>
        <v>1.1985920000000001</v>
      </c>
      <c r="K189" s="16">
        <f>الجدول336112[[#This Row],[إفرادي القطعة الواحدة]]+الجدول336112[[#This Row],[أجور الشحن للقطعة الواحدة]]</f>
        <v>6.1985919999999997</v>
      </c>
      <c r="L189" s="16">
        <f>الجدول336112[[#This Row],[العدد]]*الجدول336112[[#This Row],[إجمالي تكلفة القطعة الواحدة]]</f>
        <v>619.85919999999999</v>
      </c>
      <c r="M189" s="16" t="s">
        <v>5</v>
      </c>
      <c r="N189" s="18">
        <v>28</v>
      </c>
      <c r="O189" s="19"/>
      <c r="P189" s="18"/>
    </row>
    <row r="190" spans="1:16" s="20" customFormat="1" ht="45" customHeight="1" x14ac:dyDescent="0.2">
      <c r="A190" s="24"/>
      <c r="B190" s="15" t="str">
        <f>IF(الجدول336112[[#This Row],[اسم المسلّم]]="","",ROW()-8)</f>
        <v/>
      </c>
      <c r="C190" s="16"/>
      <c r="D190" s="17" t="s">
        <v>457</v>
      </c>
      <c r="E190" s="16" t="s">
        <v>456</v>
      </c>
      <c r="F190" s="16" t="s">
        <v>459</v>
      </c>
      <c r="G190" s="16" t="s">
        <v>375</v>
      </c>
      <c r="H190" s="16">
        <v>100</v>
      </c>
      <c r="I190" s="16">
        <v>0.83</v>
      </c>
      <c r="J190" s="16">
        <f>الجدول336112[[#This Row],[إفرادي القطعة الواحدة]]*0.2397184</f>
        <v>0.198966272</v>
      </c>
      <c r="K190" s="16">
        <f>الجدول336112[[#This Row],[إفرادي القطعة الواحدة]]+الجدول336112[[#This Row],[أجور الشحن للقطعة الواحدة]]</f>
        <v>1.0289662719999999</v>
      </c>
      <c r="L190" s="16">
        <f>الجدول336112[[#This Row],[العدد]]*الجدول336112[[#This Row],[إجمالي تكلفة القطعة الواحدة]]</f>
        <v>102.89662719999998</v>
      </c>
      <c r="M190" s="16" t="s">
        <v>5</v>
      </c>
      <c r="N190" s="18">
        <v>28</v>
      </c>
      <c r="O190" s="19"/>
      <c r="P190" s="18"/>
    </row>
    <row r="191" spans="1:16" s="20" customFormat="1" ht="45" customHeight="1" x14ac:dyDescent="0.2">
      <c r="A191" s="24"/>
      <c r="B191" s="15" t="str">
        <f>IF(الجدول336112[[#This Row],[اسم المسلّم]]="","",ROW()-8)</f>
        <v/>
      </c>
      <c r="C191" s="16"/>
      <c r="D191" s="17" t="s">
        <v>457</v>
      </c>
      <c r="E191" s="16" t="s">
        <v>456</v>
      </c>
      <c r="F191" s="16" t="s">
        <v>460</v>
      </c>
      <c r="G191" s="16" t="s">
        <v>375</v>
      </c>
      <c r="H191" s="16">
        <v>100</v>
      </c>
      <c r="I191" s="16">
        <v>3.67</v>
      </c>
      <c r="J191" s="16">
        <f>الجدول336112[[#This Row],[إفرادي القطعة الواحدة]]*0.2397184</f>
        <v>0.87976652799999999</v>
      </c>
      <c r="K191" s="16">
        <f>الجدول336112[[#This Row],[إفرادي القطعة الواحدة]]+الجدول336112[[#This Row],[أجور الشحن للقطعة الواحدة]]</f>
        <v>4.5497665280000001</v>
      </c>
      <c r="L191" s="16">
        <f>الجدول336112[[#This Row],[العدد]]*الجدول336112[[#This Row],[إجمالي تكلفة القطعة الواحدة]]</f>
        <v>454.97665280000001</v>
      </c>
      <c r="M191" s="16" t="s">
        <v>5</v>
      </c>
      <c r="N191" s="18">
        <v>28</v>
      </c>
      <c r="O191" s="19"/>
      <c r="P191" s="18"/>
    </row>
    <row r="192" spans="1:16" s="20" customFormat="1" ht="45" customHeight="1" x14ac:dyDescent="0.2">
      <c r="A192" s="24"/>
      <c r="B192" s="15" t="str">
        <f>IF(الجدول336112[[#This Row],[اسم المسلّم]]="","",ROW()-8)</f>
        <v/>
      </c>
      <c r="C192" s="16"/>
      <c r="D192" s="17" t="s">
        <v>457</v>
      </c>
      <c r="E192" s="16" t="s">
        <v>456</v>
      </c>
      <c r="F192" s="16" t="s">
        <v>461</v>
      </c>
      <c r="G192" s="16" t="s">
        <v>375</v>
      </c>
      <c r="H192" s="16">
        <v>100</v>
      </c>
      <c r="I192" s="16">
        <v>3.33</v>
      </c>
      <c r="J192" s="16">
        <f>الجدول336112[[#This Row],[إفرادي القطعة الواحدة]]*0.2397184</f>
        <v>0.79826227199999999</v>
      </c>
      <c r="K192" s="16">
        <f>الجدول336112[[#This Row],[إفرادي القطعة الواحدة]]+الجدول336112[[#This Row],[أجور الشحن للقطعة الواحدة]]</f>
        <v>4.1282622719999997</v>
      </c>
      <c r="L192" s="16">
        <f>الجدول336112[[#This Row],[العدد]]*الجدول336112[[#This Row],[إجمالي تكلفة القطعة الواحدة]]</f>
        <v>412.82622719999995</v>
      </c>
      <c r="M192" s="16" t="s">
        <v>5</v>
      </c>
      <c r="N192" s="18">
        <v>28</v>
      </c>
      <c r="O192" s="19"/>
      <c r="P192" s="18"/>
    </row>
    <row r="193" spans="1:16" s="20" customFormat="1" ht="45" customHeight="1" x14ac:dyDescent="0.2">
      <c r="A193" s="24"/>
      <c r="B193" s="15" t="str">
        <f>IF(الجدول336112[[#This Row],[اسم المسلّم]]="","",ROW()-8)</f>
        <v/>
      </c>
      <c r="C193" s="16"/>
      <c r="D193" s="17" t="s">
        <v>457</v>
      </c>
      <c r="E193" s="16" t="s">
        <v>456</v>
      </c>
      <c r="F193" s="16" t="s">
        <v>462</v>
      </c>
      <c r="G193" s="16" t="s">
        <v>375</v>
      </c>
      <c r="H193" s="16">
        <v>100</v>
      </c>
      <c r="I193" s="16">
        <v>2.83</v>
      </c>
      <c r="J193" s="16">
        <f>الجدول336112[[#This Row],[إفرادي القطعة الواحدة]]*0.2397184</f>
        <v>0.67840307200000005</v>
      </c>
      <c r="K193" s="16">
        <f>الجدول336112[[#This Row],[إفرادي القطعة الواحدة]]+الجدول336112[[#This Row],[أجور الشحن للقطعة الواحدة]]</f>
        <v>3.5084030720000001</v>
      </c>
      <c r="L193" s="16">
        <f>الجدول336112[[#This Row],[العدد]]*الجدول336112[[#This Row],[إجمالي تكلفة القطعة الواحدة]]</f>
        <v>350.84030719999998</v>
      </c>
      <c r="M193" s="16" t="s">
        <v>5</v>
      </c>
      <c r="N193" s="18">
        <v>28</v>
      </c>
      <c r="O193" s="19"/>
      <c r="P193" s="18"/>
    </row>
    <row r="194" spans="1:16" s="20" customFormat="1" ht="45" customHeight="1" x14ac:dyDescent="0.2">
      <c r="A194" s="24"/>
      <c r="B194" s="15" t="str">
        <f>IF(الجدول336112[[#This Row],[اسم المسلّم]]="","",ROW()-8)</f>
        <v/>
      </c>
      <c r="C194" s="16"/>
      <c r="D194" s="17" t="s">
        <v>340</v>
      </c>
      <c r="E194" s="16" t="s">
        <v>339</v>
      </c>
      <c r="F194" s="16" t="s">
        <v>47</v>
      </c>
      <c r="G194" s="16" t="s">
        <v>341</v>
      </c>
      <c r="H194" s="16">
        <v>1</v>
      </c>
      <c r="I194" s="16">
        <v>199.63</v>
      </c>
      <c r="J194" s="16">
        <f>الجدول336112[[#This Row],[إفرادي القطعة الواحدة]]*0.2397184</f>
        <v>47.854984191999996</v>
      </c>
      <c r="K194" s="16">
        <f>الجدول336112[[#This Row],[إفرادي القطعة الواحدة]]+الجدول336112[[#This Row],[أجور الشحن للقطعة الواحدة]]</f>
        <v>247.48498419199998</v>
      </c>
      <c r="L194" s="16">
        <f>الجدول336112[[#This Row],[العدد]]*الجدول336112[[#This Row],[إجمالي تكلفة القطعة الواحدة]]</f>
        <v>247.48498419199998</v>
      </c>
      <c r="M194" s="16" t="s">
        <v>5</v>
      </c>
      <c r="N194" s="18">
        <v>7</v>
      </c>
      <c r="O194" s="19"/>
      <c r="P194" s="18"/>
    </row>
    <row r="195" spans="1:16" s="20" customFormat="1" ht="45" customHeight="1" x14ac:dyDescent="0.2">
      <c r="A195" s="24"/>
      <c r="B195" s="15" t="str">
        <f>IF(الجدول336112[[#This Row],[اسم المسلّم]]="","",ROW()-8)</f>
        <v/>
      </c>
      <c r="C195" s="16"/>
      <c r="D195" s="17" t="s">
        <v>336</v>
      </c>
      <c r="E195" s="16" t="s">
        <v>314</v>
      </c>
      <c r="F195" s="16" t="s">
        <v>279</v>
      </c>
      <c r="G195" s="16" t="s">
        <v>341</v>
      </c>
      <c r="H195" s="16">
        <v>100</v>
      </c>
      <c r="I195" s="16">
        <v>1.96</v>
      </c>
      <c r="J195" s="16">
        <f>الجدول336112[[#This Row],[إفرادي القطعة الواحدة]]*0.2397184</f>
        <v>0.46984806400000001</v>
      </c>
      <c r="K195" s="16">
        <f>الجدول336112[[#This Row],[إفرادي القطعة الواحدة]]+الجدول336112[[#This Row],[أجور الشحن للقطعة الواحدة]]</f>
        <v>2.4298480639999998</v>
      </c>
      <c r="L195" s="16">
        <f>الجدول336112[[#This Row],[العدد]]*الجدول336112[[#This Row],[إجمالي تكلفة القطعة الواحدة]]</f>
        <v>242.98480639999997</v>
      </c>
      <c r="M195" s="16" t="s">
        <v>5</v>
      </c>
      <c r="N195" s="18">
        <v>29</v>
      </c>
      <c r="O195" s="19"/>
      <c r="P195" s="18"/>
    </row>
    <row r="196" spans="1:16" s="20" customFormat="1" ht="45" customHeight="1" x14ac:dyDescent="0.2">
      <c r="A196" s="24"/>
      <c r="B196" s="15" t="str">
        <f>IF(الجدول336112[[#This Row],[اسم المسلّم]]="","",ROW()-8)</f>
        <v/>
      </c>
      <c r="C196" s="16"/>
      <c r="D196" s="17" t="s">
        <v>336</v>
      </c>
      <c r="E196" s="16" t="s">
        <v>314</v>
      </c>
      <c r="F196" s="16" t="s">
        <v>281</v>
      </c>
      <c r="G196" s="16" t="s">
        <v>341</v>
      </c>
      <c r="H196" s="16">
        <v>150</v>
      </c>
      <c r="I196" s="16">
        <v>5.01</v>
      </c>
      <c r="J196" s="16">
        <f>الجدول336112[[#This Row],[إفرادي القطعة الواحدة]]*0.2397184</f>
        <v>1.200989184</v>
      </c>
      <c r="K196" s="16">
        <f>الجدول336112[[#This Row],[إفرادي القطعة الواحدة]]+الجدول336112[[#This Row],[أجور الشحن للقطعة الواحدة]]</f>
        <v>6.2109891839999998</v>
      </c>
      <c r="L196" s="16">
        <f>الجدول336112[[#This Row],[العدد]]*الجدول336112[[#This Row],[إجمالي تكلفة القطعة الواحدة]]</f>
        <v>931.6483776</v>
      </c>
      <c r="M196" s="16" t="s">
        <v>5</v>
      </c>
      <c r="N196" s="18">
        <v>29</v>
      </c>
      <c r="O196" s="19"/>
      <c r="P196" s="18"/>
    </row>
    <row r="197" spans="1:16" s="20" customFormat="1" ht="45" customHeight="1" x14ac:dyDescent="0.2">
      <c r="A197" s="24"/>
      <c r="B197" s="15" t="str">
        <f>IF(الجدول336112[[#This Row],[اسم المسلّم]]="","",ROW()-8)</f>
        <v/>
      </c>
      <c r="C197" s="16"/>
      <c r="D197" s="17" t="s">
        <v>323</v>
      </c>
      <c r="E197" s="16" t="s">
        <v>300</v>
      </c>
      <c r="F197" s="16" t="s">
        <v>212</v>
      </c>
      <c r="G197" s="16" t="s">
        <v>341</v>
      </c>
      <c r="H197" s="16">
        <v>12</v>
      </c>
      <c r="I197" s="16">
        <v>10</v>
      </c>
      <c r="J197" s="16">
        <f>الجدول336112[[#This Row],[إفرادي القطعة الواحدة]]*0.2397184</f>
        <v>2.3971840000000002</v>
      </c>
      <c r="K197" s="16">
        <f>الجدول336112[[#This Row],[إفرادي القطعة الواحدة]]+الجدول336112[[#This Row],[أجور الشحن للقطعة الواحدة]]</f>
        <v>12.397183999999999</v>
      </c>
      <c r="L197" s="16">
        <f>الجدول336112[[#This Row],[العدد]]*الجدول336112[[#This Row],[إجمالي تكلفة القطعة الواحدة]]</f>
        <v>148.76620800000001</v>
      </c>
      <c r="M197" s="16" t="s">
        <v>5</v>
      </c>
      <c r="N197" s="18">
        <v>29</v>
      </c>
      <c r="O197" s="19"/>
      <c r="P197" s="18"/>
    </row>
    <row r="198" spans="1:16" s="20" customFormat="1" ht="45" customHeight="1" x14ac:dyDescent="0.2">
      <c r="A198" s="24"/>
      <c r="B198" s="15" t="str">
        <f>IF(الجدول336112[[#This Row],[اسم المسلّم]]="","",ROW()-8)</f>
        <v/>
      </c>
      <c r="C198" s="16"/>
      <c r="D198" s="17" t="s">
        <v>336</v>
      </c>
      <c r="E198" s="16" t="s">
        <v>314</v>
      </c>
      <c r="F198" s="16" t="s">
        <v>463</v>
      </c>
      <c r="G198" s="16" t="s">
        <v>341</v>
      </c>
      <c r="H198" s="16">
        <v>35</v>
      </c>
      <c r="I198" s="16">
        <v>11.5</v>
      </c>
      <c r="J198" s="16">
        <f>الجدول336112[[#This Row],[إفرادي القطعة الواحدة]]*0.2397184</f>
        <v>2.7567615999999999</v>
      </c>
      <c r="K198" s="16">
        <f>الجدول336112[[#This Row],[إفرادي القطعة الواحدة]]+الجدول336112[[#This Row],[أجور الشحن للقطعة الواحدة]]</f>
        <v>14.256761600000001</v>
      </c>
      <c r="L198" s="16">
        <f>الجدول336112[[#This Row],[العدد]]*الجدول336112[[#This Row],[إجمالي تكلفة القطعة الواحدة]]</f>
        <v>498.98665600000004</v>
      </c>
      <c r="M198" s="16" t="s">
        <v>5</v>
      </c>
      <c r="N198" s="18">
        <v>29</v>
      </c>
      <c r="O198" s="19"/>
      <c r="P198" s="18"/>
    </row>
    <row r="199" spans="1:16" s="20" customFormat="1" ht="45" customHeight="1" x14ac:dyDescent="0.2">
      <c r="A199" s="24"/>
      <c r="B199" s="15" t="str">
        <f>IF(الجدول336112[[#This Row],[اسم المسلّم]]="","",ROW()-8)</f>
        <v/>
      </c>
      <c r="C199" s="16"/>
      <c r="D199" s="17" t="s">
        <v>323</v>
      </c>
      <c r="E199" s="16" t="s">
        <v>300</v>
      </c>
      <c r="F199" s="16" t="s">
        <v>214</v>
      </c>
      <c r="G199" s="16" t="s">
        <v>341</v>
      </c>
      <c r="H199" s="16">
        <v>27</v>
      </c>
      <c r="I199" s="16">
        <v>10</v>
      </c>
      <c r="J199" s="16">
        <f>الجدول336112[[#This Row],[إفرادي القطعة الواحدة]]*0.2397184</f>
        <v>2.3971840000000002</v>
      </c>
      <c r="K199" s="16">
        <f>الجدول336112[[#This Row],[إفرادي القطعة الواحدة]]+الجدول336112[[#This Row],[أجور الشحن للقطعة الواحدة]]</f>
        <v>12.397183999999999</v>
      </c>
      <c r="L199" s="16">
        <f>الجدول336112[[#This Row],[العدد]]*الجدول336112[[#This Row],[إجمالي تكلفة القطعة الواحدة]]</f>
        <v>334.72396799999996</v>
      </c>
      <c r="M199" s="16" t="s">
        <v>5</v>
      </c>
      <c r="N199" s="18">
        <v>29</v>
      </c>
      <c r="O199" s="19"/>
      <c r="P199" s="18"/>
    </row>
    <row r="200" spans="1:16" s="20" customFormat="1" ht="45" customHeight="1" x14ac:dyDescent="0.2">
      <c r="A200" s="24"/>
      <c r="B200" s="15" t="str">
        <f>IF(الجدول336112[[#This Row],[اسم المسلّم]]="","",ROW()-8)</f>
        <v/>
      </c>
      <c r="C200" s="16"/>
      <c r="D200" s="17" t="s">
        <v>466</v>
      </c>
      <c r="E200" s="16" t="s">
        <v>464</v>
      </c>
      <c r="F200" s="16" t="s">
        <v>465</v>
      </c>
      <c r="G200" s="16" t="s">
        <v>341</v>
      </c>
      <c r="H200" s="16">
        <v>2</v>
      </c>
      <c r="I200" s="16">
        <v>9</v>
      </c>
      <c r="J200" s="16">
        <f>الجدول336112[[#This Row],[إفرادي القطعة الواحدة]]*0.2397184</f>
        <v>2.1574656000000001</v>
      </c>
      <c r="K200" s="16">
        <f>الجدول336112[[#This Row],[إفرادي القطعة الواحدة]]+الجدول336112[[#This Row],[أجور الشحن للقطعة الواحدة]]</f>
        <v>11.1574656</v>
      </c>
      <c r="L200" s="16">
        <f>الجدول336112[[#This Row],[العدد]]*الجدول336112[[#This Row],[إجمالي تكلفة القطعة الواحدة]]</f>
        <v>22.3149312</v>
      </c>
      <c r="M200" s="16" t="s">
        <v>5</v>
      </c>
      <c r="N200" s="18">
        <v>29</v>
      </c>
      <c r="O200" s="19"/>
      <c r="P200" s="18"/>
    </row>
    <row r="201" spans="1:16" s="20" customFormat="1" ht="45" customHeight="1" x14ac:dyDescent="0.2">
      <c r="A201" s="24"/>
      <c r="B201" s="15" t="str">
        <f>IF(الجدول336112[[#This Row],[اسم المسلّم]]="","",ROW()-8)</f>
        <v/>
      </c>
      <c r="C201" s="16"/>
      <c r="D201" s="17" t="s">
        <v>322</v>
      </c>
      <c r="E201" s="16" t="s">
        <v>299</v>
      </c>
      <c r="F201" s="16" t="s">
        <v>211</v>
      </c>
      <c r="G201" s="16" t="s">
        <v>341</v>
      </c>
      <c r="H201" s="16">
        <v>10</v>
      </c>
      <c r="I201" s="16">
        <v>25</v>
      </c>
      <c r="J201" s="16">
        <f>الجدول336112[[#This Row],[إفرادي القطعة الواحدة]]*0.2397184</f>
        <v>5.9929600000000001</v>
      </c>
      <c r="K201" s="16">
        <f>الجدول336112[[#This Row],[إفرادي القطعة الواحدة]]+الجدول336112[[#This Row],[أجور الشحن للقطعة الواحدة]]</f>
        <v>30.99296</v>
      </c>
      <c r="L201" s="16">
        <f>الجدول336112[[#This Row],[العدد]]*الجدول336112[[#This Row],[إجمالي تكلفة القطعة الواحدة]]</f>
        <v>309.92959999999999</v>
      </c>
      <c r="M201" s="16" t="s">
        <v>5</v>
      </c>
      <c r="N201" s="18">
        <v>29</v>
      </c>
      <c r="O201" s="19"/>
      <c r="P201" s="18"/>
    </row>
    <row r="202" spans="1:16" s="20" customFormat="1" ht="45" customHeight="1" x14ac:dyDescent="0.2">
      <c r="A202" s="24"/>
      <c r="B202" s="15" t="str">
        <f>IF(الجدول336112[[#This Row],[اسم المسلّم]]="","",ROW()-8)</f>
        <v/>
      </c>
      <c r="C202" s="16"/>
      <c r="D202" s="17" t="s">
        <v>322</v>
      </c>
      <c r="E202" s="16" t="s">
        <v>299</v>
      </c>
      <c r="F202" s="16" t="s">
        <v>209</v>
      </c>
      <c r="G202" s="16" t="s">
        <v>341</v>
      </c>
      <c r="H202" s="16">
        <v>5</v>
      </c>
      <c r="I202" s="16">
        <v>13.33</v>
      </c>
      <c r="J202" s="16">
        <f>الجدول336112[[#This Row],[إفرادي القطعة الواحدة]]*0.2397184</f>
        <v>3.1954462719999999</v>
      </c>
      <c r="K202" s="16">
        <f>الجدول336112[[#This Row],[إفرادي القطعة الواحدة]]+الجدول336112[[#This Row],[أجور الشحن للقطعة الواحدة]]</f>
        <v>16.525446272</v>
      </c>
      <c r="L202" s="16">
        <f>الجدول336112[[#This Row],[العدد]]*الجدول336112[[#This Row],[إجمالي تكلفة القطعة الواحدة]]</f>
        <v>82.627231359999996</v>
      </c>
      <c r="M202" s="16" t="s">
        <v>5</v>
      </c>
      <c r="N202" s="18">
        <v>29</v>
      </c>
      <c r="O202" s="19"/>
      <c r="P202" s="18"/>
    </row>
    <row r="203" spans="1:16" s="20" customFormat="1" ht="45" customHeight="1" x14ac:dyDescent="0.2">
      <c r="A203" s="24"/>
      <c r="B203" s="15" t="str">
        <f>IF(الجدول336112[[#This Row],[اسم المسلّم]]="","",ROW()-8)</f>
        <v/>
      </c>
      <c r="C203" s="16"/>
      <c r="D203" s="17" t="s">
        <v>322</v>
      </c>
      <c r="E203" s="16" t="s">
        <v>299</v>
      </c>
      <c r="F203" s="16" t="s">
        <v>210</v>
      </c>
      <c r="G203" s="16" t="s">
        <v>341</v>
      </c>
      <c r="H203" s="16">
        <v>50</v>
      </c>
      <c r="I203" s="16">
        <v>39</v>
      </c>
      <c r="J203" s="16">
        <f>الجدول336112[[#This Row],[إفرادي القطعة الواحدة]]*0.2397184</f>
        <v>9.3490175999999998</v>
      </c>
      <c r="K203" s="16">
        <f>الجدول336112[[#This Row],[إفرادي القطعة الواحدة]]+الجدول336112[[#This Row],[أجور الشحن للقطعة الواحدة]]</f>
        <v>48.349017599999996</v>
      </c>
      <c r="L203" s="16">
        <f>الجدول336112[[#This Row],[العدد]]*الجدول336112[[#This Row],[إجمالي تكلفة القطعة الواحدة]]</f>
        <v>2417.4508799999999</v>
      </c>
      <c r="M203" s="16" t="s">
        <v>5</v>
      </c>
      <c r="N203" s="18">
        <v>29</v>
      </c>
      <c r="O203" s="19"/>
      <c r="P203" s="18"/>
    </row>
    <row r="204" spans="1:16" s="20" customFormat="1" ht="45" customHeight="1" x14ac:dyDescent="0.2">
      <c r="A204" s="24"/>
      <c r="B204" s="15" t="str">
        <f>IF(الجدول336112[[#This Row],[اسم المسلّم]]="","",ROW()-8)</f>
        <v/>
      </c>
      <c r="C204" s="16"/>
      <c r="D204" s="17" t="s">
        <v>467</v>
      </c>
      <c r="E204" s="16" t="s">
        <v>308</v>
      </c>
      <c r="F204" s="16" t="s">
        <v>238</v>
      </c>
      <c r="G204" s="16" t="s">
        <v>341</v>
      </c>
      <c r="H204" s="16">
        <v>5000</v>
      </c>
      <c r="I204" s="16">
        <v>0.17</v>
      </c>
      <c r="J204" s="16">
        <f>الجدول336112[[#This Row],[إفرادي القطعة الواحدة]]*0.2397184</f>
        <v>4.0752128000000006E-2</v>
      </c>
      <c r="K204" s="16">
        <f>الجدول336112[[#This Row],[إفرادي القطعة الواحدة]]+الجدول336112[[#This Row],[أجور الشحن للقطعة الواحدة]]</f>
        <v>0.21075212800000001</v>
      </c>
      <c r="L204" s="16">
        <f>الجدول336112[[#This Row],[العدد]]*الجدول336112[[#This Row],[إجمالي تكلفة القطعة الواحدة]]</f>
        <v>1053.76064</v>
      </c>
      <c r="M204" s="16" t="s">
        <v>5</v>
      </c>
      <c r="N204" s="18">
        <v>30</v>
      </c>
      <c r="O204" s="19"/>
      <c r="P204" s="18"/>
    </row>
    <row r="205" spans="1:16" s="20" customFormat="1" ht="45" customHeight="1" x14ac:dyDescent="0.2">
      <c r="A205" s="24"/>
      <c r="B205" s="15" t="str">
        <f>IF(الجدول336112[[#This Row],[اسم المسلّم]]="","",ROW()-8)</f>
        <v/>
      </c>
      <c r="C205" s="16"/>
      <c r="D205" s="17" t="s">
        <v>469</v>
      </c>
      <c r="E205" s="16" t="s">
        <v>308</v>
      </c>
      <c r="F205" s="16" t="s">
        <v>468</v>
      </c>
      <c r="G205" s="16" t="s">
        <v>341</v>
      </c>
      <c r="H205" s="16">
        <v>1000</v>
      </c>
      <c r="I205" s="16">
        <v>0.4</v>
      </c>
      <c r="J205" s="16">
        <f>الجدول336112[[#This Row],[إفرادي القطعة الواحدة]]*0.2397184</f>
        <v>9.5887360000000005E-2</v>
      </c>
      <c r="K205" s="16">
        <f>الجدول336112[[#This Row],[إفرادي القطعة الواحدة]]+الجدول336112[[#This Row],[أجور الشحن للقطعة الواحدة]]</f>
        <v>0.49588736</v>
      </c>
      <c r="L205" s="16">
        <f>الجدول336112[[#This Row],[العدد]]*الجدول336112[[#This Row],[إجمالي تكلفة القطعة الواحدة]]</f>
        <v>495.88736</v>
      </c>
      <c r="M205" s="16" t="s">
        <v>5</v>
      </c>
      <c r="N205" s="18">
        <v>30</v>
      </c>
      <c r="O205" s="19"/>
      <c r="P205" s="18"/>
    </row>
    <row r="206" spans="1:16" s="20" customFormat="1" ht="45" customHeight="1" x14ac:dyDescent="0.2">
      <c r="A206" s="24"/>
      <c r="B206" s="15" t="str">
        <f>IF(الجدول336112[[#This Row],[اسم المسلّم]]="","",ROW()-8)</f>
        <v/>
      </c>
      <c r="C206" s="16"/>
      <c r="D206" s="17" t="s">
        <v>470</v>
      </c>
      <c r="E206" s="16" t="s">
        <v>308</v>
      </c>
      <c r="F206" s="16" t="s">
        <v>240</v>
      </c>
      <c r="G206" s="16" t="s">
        <v>341</v>
      </c>
      <c r="H206" s="16">
        <v>1000</v>
      </c>
      <c r="I206" s="16">
        <v>0.17</v>
      </c>
      <c r="J206" s="16">
        <f>الجدول336112[[#This Row],[إفرادي القطعة الواحدة]]*0.2397184</f>
        <v>4.0752128000000006E-2</v>
      </c>
      <c r="K206" s="16">
        <f>الجدول336112[[#This Row],[إفرادي القطعة الواحدة]]+الجدول336112[[#This Row],[أجور الشحن للقطعة الواحدة]]</f>
        <v>0.21075212800000001</v>
      </c>
      <c r="L206" s="16">
        <f>الجدول336112[[#This Row],[العدد]]*الجدول336112[[#This Row],[إجمالي تكلفة القطعة الواحدة]]</f>
        <v>210.752128</v>
      </c>
      <c r="M206" s="16" t="s">
        <v>5</v>
      </c>
      <c r="N206" s="18">
        <v>30</v>
      </c>
      <c r="O206" s="19"/>
      <c r="P206" s="18"/>
    </row>
    <row r="207" spans="1:16" s="20" customFormat="1" ht="45" customHeight="1" x14ac:dyDescent="0.2">
      <c r="A207" s="24"/>
      <c r="B207" s="15" t="str">
        <f>IF(الجدول336112[[#This Row],[اسم المسلّم]]="","",ROW()-8)</f>
        <v/>
      </c>
      <c r="C207" s="16"/>
      <c r="D207" s="17" t="s">
        <v>471</v>
      </c>
      <c r="E207" s="16" t="s">
        <v>308</v>
      </c>
      <c r="F207" s="16" t="s">
        <v>239</v>
      </c>
      <c r="G207" s="16" t="s">
        <v>341</v>
      </c>
      <c r="H207" s="16">
        <v>50</v>
      </c>
      <c r="I207" s="16">
        <v>0.5</v>
      </c>
      <c r="J207" s="16">
        <f>الجدول336112[[#This Row],[إفرادي القطعة الواحدة]]*0.2397184</f>
        <v>0.1198592</v>
      </c>
      <c r="K207" s="16">
        <f>الجدول336112[[#This Row],[إفرادي القطعة الواحدة]]+الجدول336112[[#This Row],[أجور الشحن للقطعة الواحدة]]</f>
        <v>0.61985920000000005</v>
      </c>
      <c r="L207" s="16">
        <f>الجدول336112[[#This Row],[العدد]]*الجدول336112[[#This Row],[إجمالي تكلفة القطعة الواحدة]]</f>
        <v>30.992960000000004</v>
      </c>
      <c r="M207" s="16" t="s">
        <v>5</v>
      </c>
      <c r="N207" s="18">
        <v>30</v>
      </c>
      <c r="O207" s="19"/>
      <c r="P207" s="18"/>
    </row>
    <row r="208" spans="1:16" s="20" customFormat="1" ht="45" customHeight="1" x14ac:dyDescent="0.2">
      <c r="A208" s="24"/>
      <c r="B208" s="15" t="str">
        <f>IF(الجدول336112[[#This Row],[اسم المسلّم]]="","",ROW()-8)</f>
        <v/>
      </c>
      <c r="C208" s="16"/>
      <c r="D208" s="17" t="s">
        <v>474</v>
      </c>
      <c r="E208" s="16" t="s">
        <v>472</v>
      </c>
      <c r="F208" s="16" t="s">
        <v>473</v>
      </c>
      <c r="G208" s="16" t="s">
        <v>341</v>
      </c>
      <c r="H208" s="16">
        <v>100</v>
      </c>
      <c r="I208" s="16">
        <v>5</v>
      </c>
      <c r="J208" s="16">
        <f>الجدول336112[[#This Row],[إفرادي القطعة الواحدة]]*0.2397184</f>
        <v>1.1985920000000001</v>
      </c>
      <c r="K208" s="16">
        <f>الجدول336112[[#This Row],[إفرادي القطعة الواحدة]]+الجدول336112[[#This Row],[أجور الشحن للقطعة الواحدة]]</f>
        <v>6.1985919999999997</v>
      </c>
      <c r="L208" s="16">
        <f>الجدول336112[[#This Row],[العدد]]*الجدول336112[[#This Row],[إجمالي تكلفة القطعة الواحدة]]</f>
        <v>619.85919999999999</v>
      </c>
      <c r="M208" s="16" t="s">
        <v>5</v>
      </c>
      <c r="N208" s="18">
        <v>30</v>
      </c>
      <c r="O208" s="19"/>
      <c r="P208" s="18"/>
    </row>
    <row r="209" spans="1:16" s="20" customFormat="1" ht="45" customHeight="1" x14ac:dyDescent="0.2">
      <c r="A209" s="24"/>
      <c r="B209" s="15" t="str">
        <f>IF(الجدول336112[[#This Row],[اسم المسلّم]]="","",ROW()-8)</f>
        <v/>
      </c>
      <c r="C209" s="16"/>
      <c r="D209" s="17" t="s">
        <v>474</v>
      </c>
      <c r="E209" s="16" t="s">
        <v>472</v>
      </c>
      <c r="F209" s="16" t="s">
        <v>475</v>
      </c>
      <c r="G209" s="16" t="s">
        <v>341</v>
      </c>
      <c r="H209" s="16">
        <v>100</v>
      </c>
      <c r="I209" s="16">
        <v>5</v>
      </c>
      <c r="J209" s="16">
        <f>الجدول336112[[#This Row],[إفرادي القطعة الواحدة]]*0.2397184</f>
        <v>1.1985920000000001</v>
      </c>
      <c r="K209" s="16">
        <f>الجدول336112[[#This Row],[إفرادي القطعة الواحدة]]+الجدول336112[[#This Row],[أجور الشحن للقطعة الواحدة]]</f>
        <v>6.1985919999999997</v>
      </c>
      <c r="L209" s="16">
        <f>الجدول336112[[#This Row],[العدد]]*الجدول336112[[#This Row],[إجمالي تكلفة القطعة الواحدة]]</f>
        <v>619.85919999999999</v>
      </c>
      <c r="M209" s="16" t="s">
        <v>5</v>
      </c>
      <c r="N209" s="18">
        <v>30</v>
      </c>
      <c r="O209" s="19"/>
      <c r="P209" s="18"/>
    </row>
    <row r="210" spans="1:16" s="20" customFormat="1" ht="45" customHeight="1" x14ac:dyDescent="0.2">
      <c r="A210" s="24"/>
      <c r="B210" s="15" t="str">
        <f>IF(الجدول336112[[#This Row],[اسم المسلّم]]="","",ROW()-8)</f>
        <v/>
      </c>
      <c r="C210" s="16"/>
      <c r="D210" s="17" t="s">
        <v>477</v>
      </c>
      <c r="E210" s="16" t="s">
        <v>308</v>
      </c>
      <c r="F210" s="16" t="s">
        <v>476</v>
      </c>
      <c r="G210" s="16" t="s">
        <v>341</v>
      </c>
      <c r="H210" s="16">
        <v>66</v>
      </c>
      <c r="I210" s="16">
        <v>0.15</v>
      </c>
      <c r="J210" s="16">
        <f>الجدول336112[[#This Row],[إفرادي القطعة الواحدة]]*0.2397184</f>
        <v>3.5957759999999998E-2</v>
      </c>
      <c r="K210" s="16">
        <f>الجدول336112[[#This Row],[إفرادي القطعة الواحدة]]+الجدول336112[[#This Row],[أجور الشحن للقطعة الواحدة]]</f>
        <v>0.18595776</v>
      </c>
      <c r="L210" s="16">
        <f>الجدول336112[[#This Row],[العدد]]*الجدول336112[[#This Row],[إجمالي تكلفة القطعة الواحدة]]</f>
        <v>12.27321216</v>
      </c>
      <c r="M210" s="16" t="s">
        <v>5</v>
      </c>
      <c r="N210" s="18">
        <v>30</v>
      </c>
      <c r="O210" s="19"/>
      <c r="P210" s="18" t="s">
        <v>478</v>
      </c>
    </row>
    <row r="211" spans="1:16" s="20" customFormat="1" ht="45" customHeight="1" x14ac:dyDescent="0.2">
      <c r="A211" s="24"/>
      <c r="B211" s="15" t="str">
        <f>IF(الجدول336112[[#This Row],[اسم المسلّم]]="","",ROW()-8)</f>
        <v/>
      </c>
      <c r="C211" s="16"/>
      <c r="D211" s="17" t="s">
        <v>318</v>
      </c>
      <c r="E211" s="16" t="s">
        <v>295</v>
      </c>
      <c r="F211" s="16" t="s">
        <v>76</v>
      </c>
      <c r="G211" s="16" t="s">
        <v>341</v>
      </c>
      <c r="H211" s="16">
        <v>343</v>
      </c>
      <c r="I211" s="16">
        <v>0.82</v>
      </c>
      <c r="J211" s="16">
        <f>الجدول336112[[#This Row],[إفرادي القطعة الواحدة]]*0.2397184</f>
        <v>0.19656908799999998</v>
      </c>
      <c r="K211" s="16">
        <f>الجدول336112[[#This Row],[إفرادي القطعة الواحدة]]+الجدول336112[[#This Row],[أجور الشحن للقطعة الواحدة]]</f>
        <v>1.016569088</v>
      </c>
      <c r="L211" s="16">
        <f>الجدول336112[[#This Row],[العدد]]*الجدول336112[[#This Row],[إجمالي تكلفة القطعة الواحدة]]</f>
        <v>348.68319718399999</v>
      </c>
      <c r="M211" s="16" t="s">
        <v>5</v>
      </c>
      <c r="N211" s="18">
        <v>31</v>
      </c>
      <c r="O211" s="19"/>
      <c r="P211" s="18"/>
    </row>
    <row r="212" spans="1:16" s="20" customFormat="1" ht="45" customHeight="1" x14ac:dyDescent="0.2">
      <c r="A212" s="24"/>
      <c r="B212" s="15" t="str">
        <f>IF(الجدول336112[[#This Row],[اسم المسلّم]]="","",ROW()-8)</f>
        <v/>
      </c>
      <c r="C212" s="16"/>
      <c r="D212" s="17" t="s">
        <v>318</v>
      </c>
      <c r="E212" s="16" t="s">
        <v>295</v>
      </c>
      <c r="F212" s="16" t="s">
        <v>122</v>
      </c>
      <c r="G212" s="16" t="s">
        <v>341</v>
      </c>
      <c r="H212" s="16">
        <v>29</v>
      </c>
      <c r="I212" s="16">
        <v>2.1345000000000001</v>
      </c>
      <c r="J212" s="16">
        <f>الجدول336112[[#This Row],[إفرادي القطعة الواحدة]]*0.2397184</f>
        <v>0.51167892479999999</v>
      </c>
      <c r="K212" s="16">
        <f>الجدول336112[[#This Row],[إفرادي القطعة الواحدة]]+الجدول336112[[#This Row],[أجور الشحن للقطعة الواحدة]]</f>
        <v>2.6461789248000001</v>
      </c>
      <c r="L212" s="16">
        <f>الجدول336112[[#This Row],[العدد]]*الجدول336112[[#This Row],[إجمالي تكلفة القطعة الواحدة]]</f>
        <v>76.739188819199995</v>
      </c>
      <c r="M212" s="16" t="s">
        <v>5</v>
      </c>
      <c r="N212" s="18">
        <v>31</v>
      </c>
      <c r="O212" s="19"/>
      <c r="P212" s="18"/>
    </row>
    <row r="213" spans="1:16" s="20" customFormat="1" ht="45" customHeight="1" x14ac:dyDescent="0.2">
      <c r="A213" s="24"/>
      <c r="B213" s="15" t="str">
        <f>IF(الجدول336112[[#This Row],[اسم المسلّم]]="","",ROW()-8)</f>
        <v/>
      </c>
      <c r="C213" s="16"/>
      <c r="D213" s="17" t="s">
        <v>318</v>
      </c>
      <c r="E213" s="16" t="s">
        <v>295</v>
      </c>
      <c r="F213" s="16" t="s">
        <v>105</v>
      </c>
      <c r="G213" s="16" t="s">
        <v>341</v>
      </c>
      <c r="H213" s="16">
        <v>180</v>
      </c>
      <c r="I213" s="16">
        <v>0.65</v>
      </c>
      <c r="J213" s="16">
        <f>الجدول336112[[#This Row],[إفرادي القطعة الواحدة]]*0.2397184</f>
        <v>0.15581696</v>
      </c>
      <c r="K213" s="16">
        <f>الجدول336112[[#This Row],[إفرادي القطعة الواحدة]]+الجدول336112[[#This Row],[أجور الشحن للقطعة الواحدة]]</f>
        <v>0.80581696000000003</v>
      </c>
      <c r="L213" s="16">
        <f>الجدول336112[[#This Row],[العدد]]*الجدول336112[[#This Row],[إجمالي تكلفة القطعة الواحدة]]</f>
        <v>145.04705280000002</v>
      </c>
      <c r="M213" s="16" t="s">
        <v>5</v>
      </c>
      <c r="N213" s="18">
        <v>31</v>
      </c>
      <c r="O213" s="19"/>
      <c r="P213" s="18"/>
    </row>
    <row r="214" spans="1:16" s="20" customFormat="1" ht="45" customHeight="1" x14ac:dyDescent="0.2">
      <c r="A214" s="24"/>
      <c r="B214" s="15" t="str">
        <f>IF(الجدول336112[[#This Row],[اسم المسلّم]]="","",ROW()-8)</f>
        <v/>
      </c>
      <c r="C214" s="16"/>
      <c r="D214" s="17" t="s">
        <v>318</v>
      </c>
      <c r="E214" s="16" t="s">
        <v>295</v>
      </c>
      <c r="F214" s="16" t="s">
        <v>106</v>
      </c>
      <c r="G214" s="16" t="s">
        <v>341</v>
      </c>
      <c r="H214" s="16">
        <v>242</v>
      </c>
      <c r="I214" s="16">
        <v>0.57999999999999996</v>
      </c>
      <c r="J214" s="16">
        <f>الجدول336112[[#This Row],[إفرادي القطعة الواحدة]]*0.2397184</f>
        <v>0.139036672</v>
      </c>
      <c r="K214" s="16">
        <f>الجدول336112[[#This Row],[إفرادي القطعة الواحدة]]+الجدول336112[[#This Row],[أجور الشحن للقطعة الواحدة]]</f>
        <v>0.71903667199999999</v>
      </c>
      <c r="L214" s="16">
        <f>الجدول336112[[#This Row],[العدد]]*الجدول336112[[#This Row],[إجمالي تكلفة القطعة الواحدة]]</f>
        <v>174.00687462400001</v>
      </c>
      <c r="M214" s="16" t="s">
        <v>5</v>
      </c>
      <c r="N214" s="18">
        <v>31</v>
      </c>
      <c r="O214" s="19"/>
      <c r="P214" s="18"/>
    </row>
    <row r="215" spans="1:16" s="20" customFormat="1" ht="45" customHeight="1" x14ac:dyDescent="0.2">
      <c r="A215" s="24"/>
      <c r="B215" s="15" t="str">
        <f>IF(الجدول336112[[#This Row],[اسم المسلّم]]="","",ROW()-8)</f>
        <v/>
      </c>
      <c r="C215" s="16"/>
      <c r="D215" s="17" t="s">
        <v>318</v>
      </c>
      <c r="E215" s="16" t="s">
        <v>295</v>
      </c>
      <c r="F215" s="16" t="s">
        <v>99</v>
      </c>
      <c r="G215" s="16" t="s">
        <v>341</v>
      </c>
      <c r="H215" s="16">
        <v>35</v>
      </c>
      <c r="I215" s="16">
        <v>1.32</v>
      </c>
      <c r="J215" s="16">
        <f>الجدول336112[[#This Row],[إفرادي القطعة الواحدة]]*0.2397184</f>
        <v>0.316428288</v>
      </c>
      <c r="K215" s="16">
        <f>الجدول336112[[#This Row],[إفرادي القطعة الواحدة]]+الجدول336112[[#This Row],[أجور الشحن للقطعة الواحدة]]</f>
        <v>1.6364282880000001</v>
      </c>
      <c r="L215" s="16">
        <f>الجدول336112[[#This Row],[العدد]]*الجدول336112[[#This Row],[إجمالي تكلفة القطعة الواحدة]]</f>
        <v>57.274990080000002</v>
      </c>
      <c r="M215" s="16" t="s">
        <v>5</v>
      </c>
      <c r="N215" s="18">
        <v>31</v>
      </c>
      <c r="O215" s="19"/>
      <c r="P215" s="18"/>
    </row>
    <row r="216" spans="1:16" s="20" customFormat="1" ht="45" customHeight="1" x14ac:dyDescent="0.2">
      <c r="A216" s="24"/>
      <c r="B216" s="15" t="str">
        <f>IF(الجدول336112[[#This Row],[اسم المسلّم]]="","",ROW()-8)</f>
        <v/>
      </c>
      <c r="C216" s="16"/>
      <c r="D216" s="17" t="s">
        <v>318</v>
      </c>
      <c r="E216" s="16" t="s">
        <v>295</v>
      </c>
      <c r="F216" s="16" t="s">
        <v>100</v>
      </c>
      <c r="G216" s="16" t="s">
        <v>341</v>
      </c>
      <c r="H216" s="16">
        <v>83</v>
      </c>
      <c r="I216" s="16">
        <v>1.82</v>
      </c>
      <c r="J216" s="16">
        <f>الجدول336112[[#This Row],[إفرادي القطعة الواحدة]]*0.2397184</f>
        <v>0.436287488</v>
      </c>
      <c r="K216" s="16">
        <f>الجدول336112[[#This Row],[إفرادي القطعة الواحدة]]+الجدول336112[[#This Row],[أجور الشحن للقطعة الواحدة]]</f>
        <v>2.2562874879999999</v>
      </c>
      <c r="L216" s="16">
        <f>الجدول336112[[#This Row],[العدد]]*الجدول336112[[#This Row],[إجمالي تكلفة القطعة الواحدة]]</f>
        <v>187.27186150399999</v>
      </c>
      <c r="M216" s="16" t="s">
        <v>5</v>
      </c>
      <c r="N216" s="18">
        <v>31</v>
      </c>
      <c r="O216" s="19"/>
      <c r="P216" s="18"/>
    </row>
    <row r="217" spans="1:16" s="20" customFormat="1" ht="45" customHeight="1" x14ac:dyDescent="0.2">
      <c r="A217" s="24"/>
      <c r="B217" s="15" t="str">
        <f>IF(الجدول336112[[#This Row],[اسم المسلّم]]="","",ROW()-8)</f>
        <v/>
      </c>
      <c r="C217" s="16"/>
      <c r="D217" s="17" t="s">
        <v>318</v>
      </c>
      <c r="E217" s="16" t="s">
        <v>295</v>
      </c>
      <c r="F217" s="16" t="s">
        <v>101</v>
      </c>
      <c r="G217" s="16" t="s">
        <v>341</v>
      </c>
      <c r="H217" s="16">
        <v>49</v>
      </c>
      <c r="I217" s="16">
        <v>1.05</v>
      </c>
      <c r="J217" s="16">
        <f>الجدول336112[[#This Row],[إفرادي القطعة الواحدة]]*0.2397184</f>
        <v>0.25170431999999998</v>
      </c>
      <c r="K217" s="16">
        <f>الجدول336112[[#This Row],[إفرادي القطعة الواحدة]]+الجدول336112[[#This Row],[أجور الشحن للقطعة الواحدة]]</f>
        <v>1.30170432</v>
      </c>
      <c r="L217" s="16">
        <f>الجدول336112[[#This Row],[العدد]]*الجدول336112[[#This Row],[إجمالي تكلفة القطعة الواحدة]]</f>
        <v>63.783511680000004</v>
      </c>
      <c r="M217" s="16" t="s">
        <v>5</v>
      </c>
      <c r="N217" s="18">
        <v>31</v>
      </c>
      <c r="O217" s="19"/>
      <c r="P217" s="18"/>
    </row>
    <row r="218" spans="1:16" s="20" customFormat="1" ht="45" customHeight="1" x14ac:dyDescent="0.2">
      <c r="A218" s="24"/>
      <c r="B218" s="15" t="str">
        <f>IF(الجدول336112[[#This Row],[اسم المسلّم]]="","",ROW()-8)</f>
        <v/>
      </c>
      <c r="C218" s="16"/>
      <c r="D218" s="17" t="s">
        <v>318</v>
      </c>
      <c r="E218" s="16" t="s">
        <v>295</v>
      </c>
      <c r="F218" s="16" t="s">
        <v>102</v>
      </c>
      <c r="G218" s="16" t="s">
        <v>341</v>
      </c>
      <c r="H218" s="16">
        <v>90</v>
      </c>
      <c r="I218" s="16">
        <v>1.05</v>
      </c>
      <c r="J218" s="16">
        <f>الجدول336112[[#This Row],[إفرادي القطعة الواحدة]]*0.2397184</f>
        <v>0.25170431999999998</v>
      </c>
      <c r="K218" s="16">
        <f>الجدول336112[[#This Row],[إفرادي القطعة الواحدة]]+الجدول336112[[#This Row],[أجور الشحن للقطعة الواحدة]]</f>
        <v>1.30170432</v>
      </c>
      <c r="L218" s="16">
        <f>الجدول336112[[#This Row],[العدد]]*الجدول336112[[#This Row],[إجمالي تكلفة القطعة الواحدة]]</f>
        <v>117.1533888</v>
      </c>
      <c r="M218" s="16" t="s">
        <v>5</v>
      </c>
      <c r="N218" s="18">
        <v>31</v>
      </c>
      <c r="O218" s="19"/>
      <c r="P218" s="18"/>
    </row>
    <row r="219" spans="1:16" s="20" customFormat="1" ht="45" customHeight="1" x14ac:dyDescent="0.2">
      <c r="A219" s="24"/>
      <c r="B219" s="15" t="str">
        <f>IF(الجدول336112[[#This Row],[اسم المسلّم]]="","",ROW()-8)</f>
        <v/>
      </c>
      <c r="C219" s="16"/>
      <c r="D219" s="17" t="s">
        <v>318</v>
      </c>
      <c r="E219" s="16" t="s">
        <v>295</v>
      </c>
      <c r="F219" s="16" t="s">
        <v>97</v>
      </c>
      <c r="G219" s="16" t="s">
        <v>341</v>
      </c>
      <c r="H219" s="16">
        <v>150</v>
      </c>
      <c r="I219" s="16">
        <v>1.32</v>
      </c>
      <c r="J219" s="16">
        <f>الجدول336112[[#This Row],[إفرادي القطعة الواحدة]]*0.2397184</f>
        <v>0.316428288</v>
      </c>
      <c r="K219" s="16">
        <f>الجدول336112[[#This Row],[إفرادي القطعة الواحدة]]+الجدول336112[[#This Row],[أجور الشحن للقطعة الواحدة]]</f>
        <v>1.6364282880000001</v>
      </c>
      <c r="L219" s="16">
        <f>الجدول336112[[#This Row],[العدد]]*الجدول336112[[#This Row],[إجمالي تكلفة القطعة الواحدة]]</f>
        <v>245.4642432</v>
      </c>
      <c r="M219" s="16" t="s">
        <v>5</v>
      </c>
      <c r="N219" s="18">
        <v>31</v>
      </c>
      <c r="O219" s="19"/>
      <c r="P219" s="18"/>
    </row>
    <row r="220" spans="1:16" s="20" customFormat="1" ht="45" customHeight="1" x14ac:dyDescent="0.2">
      <c r="A220" s="24"/>
      <c r="B220" s="15" t="str">
        <f>IF(الجدول336112[[#This Row],[اسم المسلّم]]="","",ROW()-8)</f>
        <v/>
      </c>
      <c r="C220" s="16"/>
      <c r="D220" s="17" t="s">
        <v>318</v>
      </c>
      <c r="E220" s="16" t="s">
        <v>295</v>
      </c>
      <c r="F220" s="16" t="s">
        <v>99</v>
      </c>
      <c r="G220" s="16" t="s">
        <v>341</v>
      </c>
      <c r="H220" s="16">
        <v>79</v>
      </c>
      <c r="I220" s="16">
        <v>1.32</v>
      </c>
      <c r="J220" s="16">
        <f>الجدول336112[[#This Row],[إفرادي القطعة الواحدة]]*0.2397184</f>
        <v>0.316428288</v>
      </c>
      <c r="K220" s="16">
        <f>الجدول336112[[#This Row],[إفرادي القطعة الواحدة]]+الجدول336112[[#This Row],[أجور الشحن للقطعة الواحدة]]</f>
        <v>1.6364282880000001</v>
      </c>
      <c r="L220" s="16">
        <f>الجدول336112[[#This Row],[العدد]]*الجدول336112[[#This Row],[إجمالي تكلفة القطعة الواحدة]]</f>
        <v>129.27783475200002</v>
      </c>
      <c r="M220" s="16" t="s">
        <v>5</v>
      </c>
      <c r="N220" s="18">
        <v>31</v>
      </c>
      <c r="O220" s="19"/>
      <c r="P220" s="18"/>
    </row>
    <row r="221" spans="1:16" s="20" customFormat="1" ht="45" customHeight="1" x14ac:dyDescent="0.2">
      <c r="A221" s="24"/>
      <c r="B221" s="15" t="str">
        <f>IF(الجدول336112[[#This Row],[اسم المسلّم]]="","",ROW()-8)</f>
        <v/>
      </c>
      <c r="C221" s="16"/>
      <c r="D221" s="17" t="s">
        <v>318</v>
      </c>
      <c r="E221" s="16" t="s">
        <v>295</v>
      </c>
      <c r="F221" s="16" t="s">
        <v>98</v>
      </c>
      <c r="G221" s="16" t="s">
        <v>341</v>
      </c>
      <c r="H221" s="16">
        <v>6</v>
      </c>
      <c r="I221" s="16">
        <v>1.05</v>
      </c>
      <c r="J221" s="16">
        <f>الجدول336112[[#This Row],[إفرادي القطعة الواحدة]]*0.2397184</f>
        <v>0.25170431999999998</v>
      </c>
      <c r="K221" s="16">
        <f>الجدول336112[[#This Row],[إفرادي القطعة الواحدة]]+الجدول336112[[#This Row],[أجور الشحن للقطعة الواحدة]]</f>
        <v>1.30170432</v>
      </c>
      <c r="L221" s="16">
        <f>الجدول336112[[#This Row],[العدد]]*الجدول336112[[#This Row],[إجمالي تكلفة القطعة الواحدة]]</f>
        <v>7.8102259200000006</v>
      </c>
      <c r="M221" s="16" t="s">
        <v>5</v>
      </c>
      <c r="N221" s="18">
        <v>31</v>
      </c>
      <c r="O221" s="19"/>
      <c r="P221" s="18"/>
    </row>
    <row r="222" spans="1:16" s="20" customFormat="1" ht="45" customHeight="1" x14ac:dyDescent="0.2">
      <c r="A222" s="24"/>
      <c r="B222" s="15" t="str">
        <f>IF(الجدول336112[[#This Row],[اسم المسلّم]]="","",ROW()-8)</f>
        <v/>
      </c>
      <c r="C222" s="16"/>
      <c r="D222" s="17" t="s">
        <v>318</v>
      </c>
      <c r="E222" s="16" t="s">
        <v>295</v>
      </c>
      <c r="F222" s="16" t="s">
        <v>95</v>
      </c>
      <c r="G222" s="16" t="s">
        <v>341</v>
      </c>
      <c r="H222" s="16">
        <v>454</v>
      </c>
      <c r="I222" s="16">
        <v>0.82</v>
      </c>
      <c r="J222" s="16">
        <f>الجدول336112[[#This Row],[إفرادي القطعة الواحدة]]*0.2397184</f>
        <v>0.19656908799999998</v>
      </c>
      <c r="K222" s="16">
        <f>الجدول336112[[#This Row],[إفرادي القطعة الواحدة]]+الجدول336112[[#This Row],[أجور الشحن للقطعة الواحدة]]</f>
        <v>1.016569088</v>
      </c>
      <c r="L222" s="16">
        <f>الجدول336112[[#This Row],[العدد]]*الجدول336112[[#This Row],[إجمالي تكلفة القطعة الواحدة]]</f>
        <v>461.52236595200003</v>
      </c>
      <c r="M222" s="16" t="s">
        <v>5</v>
      </c>
      <c r="N222" s="18">
        <v>31</v>
      </c>
      <c r="O222" s="19"/>
      <c r="P222" s="18"/>
    </row>
    <row r="223" spans="1:16" s="20" customFormat="1" ht="45" customHeight="1" x14ac:dyDescent="0.2">
      <c r="A223" s="24"/>
      <c r="B223" s="15" t="str">
        <f>IF(الجدول336112[[#This Row],[اسم المسلّم]]="","",ROW()-8)</f>
        <v/>
      </c>
      <c r="C223" s="16"/>
      <c r="D223" s="17" t="s">
        <v>318</v>
      </c>
      <c r="E223" s="16" t="s">
        <v>295</v>
      </c>
      <c r="F223" s="16" t="s">
        <v>96</v>
      </c>
      <c r="G223" s="16" t="s">
        <v>341</v>
      </c>
      <c r="H223" s="16">
        <v>10</v>
      </c>
      <c r="I223" s="16">
        <v>2.65</v>
      </c>
      <c r="J223" s="16">
        <f>الجدول336112[[#This Row],[إفرادي القطعة الواحدة]]*0.2397184</f>
        <v>0.63525376</v>
      </c>
      <c r="K223" s="16">
        <f>الجدول336112[[#This Row],[إفرادي القطعة الواحدة]]+الجدول336112[[#This Row],[أجور الشحن للقطعة الواحدة]]</f>
        <v>3.2852537599999998</v>
      </c>
      <c r="L223" s="16">
        <f>الجدول336112[[#This Row],[العدد]]*الجدول336112[[#This Row],[إجمالي تكلفة القطعة الواحدة]]</f>
        <v>32.852537599999998</v>
      </c>
      <c r="M223" s="16" t="s">
        <v>5</v>
      </c>
      <c r="N223" s="18">
        <v>31</v>
      </c>
      <c r="O223" s="19"/>
      <c r="P223" s="18"/>
    </row>
    <row r="224" spans="1:16" s="20" customFormat="1" ht="45" customHeight="1" x14ac:dyDescent="0.2">
      <c r="A224" s="24"/>
      <c r="B224" s="15" t="str">
        <f>IF(الجدول336112[[#This Row],[اسم المسلّم]]="","",ROW()-8)</f>
        <v/>
      </c>
      <c r="C224" s="16"/>
      <c r="D224" s="17" t="s">
        <v>318</v>
      </c>
      <c r="E224" s="16" t="s">
        <v>295</v>
      </c>
      <c r="F224" s="16" t="s">
        <v>94</v>
      </c>
      <c r="G224" s="16" t="s">
        <v>341</v>
      </c>
      <c r="H224" s="16">
        <v>300</v>
      </c>
      <c r="I224" s="16">
        <v>0.82</v>
      </c>
      <c r="J224" s="16">
        <f>الجدول336112[[#This Row],[إفرادي القطعة الواحدة]]*0.2397184</f>
        <v>0.19656908799999998</v>
      </c>
      <c r="K224" s="16">
        <f>الجدول336112[[#This Row],[إفرادي القطعة الواحدة]]+الجدول336112[[#This Row],[أجور الشحن للقطعة الواحدة]]</f>
        <v>1.016569088</v>
      </c>
      <c r="L224" s="16">
        <f>الجدول336112[[#This Row],[العدد]]*الجدول336112[[#This Row],[إجمالي تكلفة القطعة الواحدة]]</f>
        <v>304.97072639999999</v>
      </c>
      <c r="M224" s="16" t="s">
        <v>5</v>
      </c>
      <c r="N224" s="18">
        <v>31</v>
      </c>
      <c r="O224" s="19"/>
      <c r="P224" s="18"/>
    </row>
    <row r="225" spans="1:16" s="20" customFormat="1" ht="45" customHeight="1" x14ac:dyDescent="0.2">
      <c r="A225" s="24"/>
      <c r="B225" s="15" t="str">
        <f>IF(الجدول336112[[#This Row],[اسم المسلّم]]="","",ROW()-8)</f>
        <v/>
      </c>
      <c r="C225" s="16"/>
      <c r="D225" s="17" t="s">
        <v>318</v>
      </c>
      <c r="E225" s="16" t="s">
        <v>295</v>
      </c>
      <c r="F225" s="16" t="s">
        <v>479</v>
      </c>
      <c r="G225" s="16" t="s">
        <v>341</v>
      </c>
      <c r="H225" s="16">
        <v>29</v>
      </c>
      <c r="I225" s="16">
        <v>1.65</v>
      </c>
      <c r="J225" s="16">
        <f>الجدول336112[[#This Row],[إفرادي القطعة الواحدة]]*0.2397184</f>
        <v>0.39553536</v>
      </c>
      <c r="K225" s="16">
        <f>الجدول336112[[#This Row],[إفرادي القطعة الواحدة]]+الجدول336112[[#This Row],[أجور الشحن للقطعة الواحدة]]</f>
        <v>2.0455353599999997</v>
      </c>
      <c r="L225" s="16">
        <f>الجدول336112[[#This Row],[العدد]]*الجدول336112[[#This Row],[إجمالي تكلفة القطعة الواحدة]]</f>
        <v>59.32052543999999</v>
      </c>
      <c r="M225" s="16" t="s">
        <v>5</v>
      </c>
      <c r="N225" s="18">
        <v>31</v>
      </c>
      <c r="O225" s="19"/>
      <c r="P225" s="18"/>
    </row>
    <row r="226" spans="1:16" s="20" customFormat="1" ht="45" customHeight="1" x14ac:dyDescent="0.2">
      <c r="A226" s="24"/>
      <c r="B226" s="15" t="str">
        <f>IF(الجدول336112[[#This Row],[اسم المسلّم]]="","",ROW()-8)</f>
        <v/>
      </c>
      <c r="C226" s="16"/>
      <c r="D226" s="17" t="s">
        <v>318</v>
      </c>
      <c r="E226" s="16" t="s">
        <v>295</v>
      </c>
      <c r="F226" s="16" t="s">
        <v>92</v>
      </c>
      <c r="G226" s="16" t="s">
        <v>341</v>
      </c>
      <c r="H226" s="16">
        <v>80</v>
      </c>
      <c r="I226" s="16">
        <v>0.98</v>
      </c>
      <c r="J226" s="16">
        <f>الجدول336112[[#This Row],[إفرادي القطعة الواحدة]]*0.2397184</f>
        <v>0.234924032</v>
      </c>
      <c r="K226" s="16">
        <f>الجدول336112[[#This Row],[إفرادي القطعة الواحدة]]+الجدول336112[[#This Row],[أجور الشحن للقطعة الواحدة]]</f>
        <v>1.2149240319999999</v>
      </c>
      <c r="L226" s="16">
        <f>الجدول336112[[#This Row],[العدد]]*الجدول336112[[#This Row],[إجمالي تكلفة القطعة الواحدة]]</f>
        <v>97.19392255999999</v>
      </c>
      <c r="M226" s="16" t="s">
        <v>5</v>
      </c>
      <c r="N226" s="18">
        <v>31</v>
      </c>
      <c r="O226" s="19"/>
      <c r="P226" s="18"/>
    </row>
    <row r="227" spans="1:16" s="20" customFormat="1" ht="45" customHeight="1" x14ac:dyDescent="0.2">
      <c r="A227" s="24"/>
      <c r="B227" s="15" t="str">
        <f>IF(الجدول336112[[#This Row],[اسم المسلّم]]="","",ROW()-8)</f>
        <v/>
      </c>
      <c r="C227" s="16"/>
      <c r="D227" s="17" t="s">
        <v>318</v>
      </c>
      <c r="E227" s="16" t="s">
        <v>295</v>
      </c>
      <c r="F227" s="16" t="s">
        <v>93</v>
      </c>
      <c r="G227" s="16" t="s">
        <v>341</v>
      </c>
      <c r="H227" s="16">
        <v>20</v>
      </c>
      <c r="I227" s="16">
        <v>1.1499999999999999</v>
      </c>
      <c r="J227" s="16">
        <f>الجدول336112[[#This Row],[إفرادي القطعة الواحدة]]*0.2397184</f>
        <v>0.27567616</v>
      </c>
      <c r="K227" s="16">
        <f>الجدول336112[[#This Row],[إفرادي القطعة الواحدة]]+الجدول336112[[#This Row],[أجور الشحن للقطعة الواحدة]]</f>
        <v>1.4256761599999999</v>
      </c>
      <c r="L227" s="16">
        <f>الجدول336112[[#This Row],[العدد]]*الجدول336112[[#This Row],[إجمالي تكلفة القطعة الواحدة]]</f>
        <v>28.513523199999998</v>
      </c>
      <c r="M227" s="16" t="s">
        <v>5</v>
      </c>
      <c r="N227" s="18">
        <v>31</v>
      </c>
      <c r="O227" s="19"/>
      <c r="P227" s="18"/>
    </row>
    <row r="228" spans="1:16" s="20" customFormat="1" ht="45" customHeight="1" x14ac:dyDescent="0.2">
      <c r="A228" s="24"/>
      <c r="B228" s="15" t="str">
        <f>IF(الجدول336112[[#This Row],[اسم المسلّم]]="","",ROW()-8)</f>
        <v/>
      </c>
      <c r="C228" s="16"/>
      <c r="D228" s="17" t="s">
        <v>318</v>
      </c>
      <c r="E228" s="16" t="s">
        <v>295</v>
      </c>
      <c r="F228" s="16" t="s">
        <v>74</v>
      </c>
      <c r="G228" s="16" t="s">
        <v>341</v>
      </c>
      <c r="H228" s="16">
        <v>175</v>
      </c>
      <c r="I228" s="16">
        <v>0.98</v>
      </c>
      <c r="J228" s="16">
        <f>الجدول336112[[#This Row],[إفرادي القطعة الواحدة]]*0.2397184</f>
        <v>0.234924032</v>
      </c>
      <c r="K228" s="16">
        <f>الجدول336112[[#This Row],[إفرادي القطعة الواحدة]]+الجدول336112[[#This Row],[أجور الشحن للقطعة الواحدة]]</f>
        <v>1.2149240319999999</v>
      </c>
      <c r="L228" s="16">
        <f>الجدول336112[[#This Row],[العدد]]*الجدول336112[[#This Row],[إجمالي تكلفة القطعة الواحدة]]</f>
        <v>212.61170559999996</v>
      </c>
      <c r="M228" s="16" t="s">
        <v>5</v>
      </c>
      <c r="N228" s="18">
        <v>31</v>
      </c>
      <c r="O228" s="19"/>
      <c r="P228" s="18"/>
    </row>
    <row r="229" spans="1:16" s="20" customFormat="1" ht="45" customHeight="1" x14ac:dyDescent="0.2">
      <c r="A229" s="24"/>
      <c r="B229" s="15" t="str">
        <f>IF(الجدول336112[[#This Row],[اسم المسلّم]]="","",ROW()-8)</f>
        <v/>
      </c>
      <c r="C229" s="16"/>
      <c r="D229" s="17" t="s">
        <v>318</v>
      </c>
      <c r="E229" s="16" t="s">
        <v>295</v>
      </c>
      <c r="F229" s="16" t="s">
        <v>75</v>
      </c>
      <c r="G229" s="16" t="s">
        <v>341</v>
      </c>
      <c r="H229" s="16">
        <v>20</v>
      </c>
      <c r="I229" s="16">
        <v>0.98</v>
      </c>
      <c r="J229" s="16">
        <f>الجدول336112[[#This Row],[إفرادي القطعة الواحدة]]*0.2397184</f>
        <v>0.234924032</v>
      </c>
      <c r="K229" s="16">
        <f>الجدول336112[[#This Row],[إفرادي القطعة الواحدة]]+الجدول336112[[#This Row],[أجور الشحن للقطعة الواحدة]]</f>
        <v>1.2149240319999999</v>
      </c>
      <c r="L229" s="16">
        <f>الجدول336112[[#This Row],[العدد]]*الجدول336112[[#This Row],[إجمالي تكلفة القطعة الواحدة]]</f>
        <v>24.298480639999998</v>
      </c>
      <c r="M229" s="16" t="s">
        <v>5</v>
      </c>
      <c r="N229" s="18">
        <v>31</v>
      </c>
      <c r="O229" s="19"/>
      <c r="P229" s="18"/>
    </row>
    <row r="230" spans="1:16" s="20" customFormat="1" ht="45" customHeight="1" x14ac:dyDescent="0.2">
      <c r="A230" s="24"/>
      <c r="B230" s="15" t="str">
        <f>IF(الجدول336112[[#This Row],[اسم المسلّم]]="","",ROW()-8)</f>
        <v/>
      </c>
      <c r="C230" s="16"/>
      <c r="D230" s="17" t="s">
        <v>318</v>
      </c>
      <c r="E230" s="16" t="s">
        <v>295</v>
      </c>
      <c r="F230" s="16" t="s">
        <v>76</v>
      </c>
      <c r="G230" s="16" t="s">
        <v>341</v>
      </c>
      <c r="H230" s="16">
        <v>300</v>
      </c>
      <c r="I230" s="16">
        <v>0.82</v>
      </c>
      <c r="J230" s="16">
        <f>الجدول336112[[#This Row],[إفرادي القطعة الواحدة]]*0.2397184</f>
        <v>0.19656908799999998</v>
      </c>
      <c r="K230" s="16">
        <f>الجدول336112[[#This Row],[إفرادي القطعة الواحدة]]+الجدول336112[[#This Row],[أجور الشحن للقطعة الواحدة]]</f>
        <v>1.016569088</v>
      </c>
      <c r="L230" s="16">
        <f>الجدول336112[[#This Row],[العدد]]*الجدول336112[[#This Row],[إجمالي تكلفة القطعة الواحدة]]</f>
        <v>304.97072639999999</v>
      </c>
      <c r="M230" s="16" t="s">
        <v>5</v>
      </c>
      <c r="N230" s="18">
        <v>31</v>
      </c>
      <c r="O230" s="19"/>
      <c r="P230" s="18"/>
    </row>
    <row r="231" spans="1:16" s="20" customFormat="1" ht="45" customHeight="1" x14ac:dyDescent="0.2">
      <c r="A231" s="24"/>
      <c r="B231" s="15" t="str">
        <f>IF(الجدول336112[[#This Row],[اسم المسلّم]]="","",ROW()-8)</f>
        <v/>
      </c>
      <c r="C231" s="16"/>
      <c r="D231" s="17" t="s">
        <v>318</v>
      </c>
      <c r="E231" s="16" t="s">
        <v>295</v>
      </c>
      <c r="F231" s="16" t="s">
        <v>103</v>
      </c>
      <c r="G231" s="16" t="s">
        <v>341</v>
      </c>
      <c r="H231" s="16">
        <v>618</v>
      </c>
      <c r="I231" s="16">
        <v>0.57999999999999996</v>
      </c>
      <c r="J231" s="16">
        <f>الجدول336112[[#This Row],[إفرادي القطعة الواحدة]]*0.2397184</f>
        <v>0.139036672</v>
      </c>
      <c r="K231" s="16">
        <f>الجدول336112[[#This Row],[إفرادي القطعة الواحدة]]+الجدول336112[[#This Row],[أجور الشحن للقطعة الواحدة]]</f>
        <v>0.71903667199999999</v>
      </c>
      <c r="L231" s="16">
        <f>الجدول336112[[#This Row],[العدد]]*الجدول336112[[#This Row],[إجمالي تكلفة القطعة الواحدة]]</f>
        <v>444.364663296</v>
      </c>
      <c r="M231" s="16" t="s">
        <v>5</v>
      </c>
      <c r="N231" s="18">
        <v>31</v>
      </c>
      <c r="O231" s="19"/>
      <c r="P231" s="18"/>
    </row>
    <row r="232" spans="1:16" s="20" customFormat="1" ht="45" customHeight="1" x14ac:dyDescent="0.2">
      <c r="A232" s="24"/>
      <c r="B232" s="15" t="str">
        <f>IF(الجدول336112[[#This Row],[اسم المسلّم]]="","",ROW()-8)</f>
        <v/>
      </c>
      <c r="C232" s="16"/>
      <c r="D232" s="17" t="s">
        <v>318</v>
      </c>
      <c r="E232" s="16" t="s">
        <v>295</v>
      </c>
      <c r="F232" s="16" t="s">
        <v>104</v>
      </c>
      <c r="G232" s="16" t="s">
        <v>341</v>
      </c>
      <c r="H232" s="16">
        <v>180</v>
      </c>
      <c r="I232" s="16">
        <v>0.57999999999999996</v>
      </c>
      <c r="J232" s="16">
        <f>الجدول336112[[#This Row],[إفرادي القطعة الواحدة]]*0.2397184</f>
        <v>0.139036672</v>
      </c>
      <c r="K232" s="16">
        <f>الجدول336112[[#This Row],[إفرادي القطعة الواحدة]]+الجدول336112[[#This Row],[أجور الشحن للقطعة الواحدة]]</f>
        <v>0.71903667199999999</v>
      </c>
      <c r="L232" s="16">
        <f>الجدول336112[[#This Row],[العدد]]*الجدول336112[[#This Row],[إجمالي تكلفة القطعة الواحدة]]</f>
        <v>129.42660096</v>
      </c>
      <c r="M232" s="16" t="s">
        <v>5</v>
      </c>
      <c r="N232" s="18">
        <v>31</v>
      </c>
      <c r="O232" s="19"/>
      <c r="P232" s="18"/>
    </row>
    <row r="233" spans="1:16" s="20" customFormat="1" ht="45" customHeight="1" x14ac:dyDescent="0.2">
      <c r="A233" s="24"/>
      <c r="B233" s="15" t="str">
        <f>IF(الجدول336112[[#This Row],[اسم المسلّم]]="","",ROW()-8)</f>
        <v/>
      </c>
      <c r="C233" s="16"/>
      <c r="D233" s="17" t="s">
        <v>318</v>
      </c>
      <c r="E233" s="16" t="s">
        <v>295</v>
      </c>
      <c r="F233" s="16" t="s">
        <v>52</v>
      </c>
      <c r="G233" s="16" t="s">
        <v>341</v>
      </c>
      <c r="H233" s="16">
        <v>10</v>
      </c>
      <c r="I233" s="16">
        <v>1.1499999999999999</v>
      </c>
      <c r="J233" s="16">
        <f>الجدول336112[[#This Row],[إفرادي القطعة الواحدة]]*0.2397184</f>
        <v>0.27567616</v>
      </c>
      <c r="K233" s="16">
        <f>الجدول336112[[#This Row],[إفرادي القطعة الواحدة]]+الجدول336112[[#This Row],[أجور الشحن للقطعة الواحدة]]</f>
        <v>1.4256761599999999</v>
      </c>
      <c r="L233" s="16">
        <f>الجدول336112[[#This Row],[العدد]]*الجدول336112[[#This Row],[إجمالي تكلفة القطعة الواحدة]]</f>
        <v>14.256761599999999</v>
      </c>
      <c r="M233" s="16" t="s">
        <v>5</v>
      </c>
      <c r="N233" s="18">
        <v>31</v>
      </c>
      <c r="O233" s="19"/>
      <c r="P233" s="18"/>
    </row>
    <row r="234" spans="1:16" s="20" customFormat="1" ht="45" customHeight="1" x14ac:dyDescent="0.2">
      <c r="A234" s="24"/>
      <c r="B234" s="15" t="str">
        <f>IF(الجدول336112[[#This Row],[اسم المسلّم]]="","",ROW()-8)</f>
        <v/>
      </c>
      <c r="C234" s="16"/>
      <c r="D234" s="17" t="s">
        <v>318</v>
      </c>
      <c r="E234" s="16" t="s">
        <v>295</v>
      </c>
      <c r="F234" s="16" t="s">
        <v>53</v>
      </c>
      <c r="G234" s="16" t="s">
        <v>341</v>
      </c>
      <c r="H234" s="16">
        <v>150</v>
      </c>
      <c r="I234" s="16">
        <v>1.1499999999999999</v>
      </c>
      <c r="J234" s="16">
        <f>الجدول336112[[#This Row],[إفرادي القطعة الواحدة]]*0.2397184</f>
        <v>0.27567616</v>
      </c>
      <c r="K234" s="16">
        <f>الجدول336112[[#This Row],[إفرادي القطعة الواحدة]]+الجدول336112[[#This Row],[أجور الشحن للقطعة الواحدة]]</f>
        <v>1.4256761599999999</v>
      </c>
      <c r="L234" s="16">
        <f>الجدول336112[[#This Row],[العدد]]*الجدول336112[[#This Row],[إجمالي تكلفة القطعة الواحدة]]</f>
        <v>213.85142399999998</v>
      </c>
      <c r="M234" s="16" t="s">
        <v>5</v>
      </c>
      <c r="N234" s="18">
        <v>31</v>
      </c>
      <c r="O234" s="19"/>
      <c r="P234" s="18"/>
    </row>
    <row r="235" spans="1:16" s="20" customFormat="1" ht="45" customHeight="1" x14ac:dyDescent="0.2">
      <c r="A235" s="24"/>
      <c r="B235" s="15" t="str">
        <f>IF(الجدول336112[[#This Row],[اسم المسلّم]]="","",ROW()-8)</f>
        <v/>
      </c>
      <c r="C235" s="16"/>
      <c r="D235" s="17" t="s">
        <v>318</v>
      </c>
      <c r="E235" s="16" t="s">
        <v>295</v>
      </c>
      <c r="F235" s="16" t="s">
        <v>54</v>
      </c>
      <c r="G235" s="16" t="s">
        <v>341</v>
      </c>
      <c r="H235" s="16">
        <v>4</v>
      </c>
      <c r="I235" s="16">
        <v>1.32</v>
      </c>
      <c r="J235" s="16">
        <f>الجدول336112[[#This Row],[إفرادي القطعة الواحدة]]*0.2397184</f>
        <v>0.316428288</v>
      </c>
      <c r="K235" s="16">
        <f>الجدول336112[[#This Row],[إفرادي القطعة الواحدة]]+الجدول336112[[#This Row],[أجور الشحن للقطعة الواحدة]]</f>
        <v>1.6364282880000001</v>
      </c>
      <c r="L235" s="16">
        <f>الجدول336112[[#This Row],[العدد]]*الجدول336112[[#This Row],[إجمالي تكلفة القطعة الواحدة]]</f>
        <v>6.5457131520000003</v>
      </c>
      <c r="M235" s="16" t="s">
        <v>5</v>
      </c>
      <c r="N235" s="18">
        <v>31</v>
      </c>
      <c r="O235" s="19"/>
      <c r="P235" s="18"/>
    </row>
    <row r="236" spans="1:16" s="20" customFormat="1" ht="45" customHeight="1" x14ac:dyDescent="0.2">
      <c r="A236" s="24"/>
      <c r="B236" s="15" t="str">
        <f>IF(الجدول336112[[#This Row],[اسم المسلّم]]="","",ROW()-8)</f>
        <v/>
      </c>
      <c r="C236" s="16"/>
      <c r="D236" s="17" t="s">
        <v>318</v>
      </c>
      <c r="E236" s="16" t="s">
        <v>295</v>
      </c>
      <c r="F236" s="16" t="s">
        <v>55</v>
      </c>
      <c r="G236" s="16" t="s">
        <v>341</v>
      </c>
      <c r="H236" s="16">
        <v>24</v>
      </c>
      <c r="I236" s="16">
        <v>1.1499999999999999</v>
      </c>
      <c r="J236" s="16">
        <f>الجدول336112[[#This Row],[إفرادي القطعة الواحدة]]*0.2397184</f>
        <v>0.27567616</v>
      </c>
      <c r="K236" s="16">
        <f>الجدول336112[[#This Row],[إفرادي القطعة الواحدة]]+الجدول336112[[#This Row],[أجور الشحن للقطعة الواحدة]]</f>
        <v>1.4256761599999999</v>
      </c>
      <c r="L236" s="16">
        <f>الجدول336112[[#This Row],[العدد]]*الجدول336112[[#This Row],[إجمالي تكلفة القطعة الواحدة]]</f>
        <v>34.216227839999995</v>
      </c>
      <c r="M236" s="16" t="s">
        <v>5</v>
      </c>
      <c r="N236" s="18">
        <v>31</v>
      </c>
      <c r="O236" s="19"/>
      <c r="P236" s="18"/>
    </row>
    <row r="237" spans="1:16" s="20" customFormat="1" ht="45" customHeight="1" x14ac:dyDescent="0.2">
      <c r="A237" s="24"/>
      <c r="B237" s="15" t="str">
        <f>IF(الجدول336112[[#This Row],[اسم المسلّم]]="","",ROW()-8)</f>
        <v/>
      </c>
      <c r="C237" s="16"/>
      <c r="D237" s="17" t="s">
        <v>318</v>
      </c>
      <c r="E237" s="16" t="s">
        <v>295</v>
      </c>
      <c r="F237" s="16" t="s">
        <v>56</v>
      </c>
      <c r="G237" s="16" t="s">
        <v>341</v>
      </c>
      <c r="H237" s="16">
        <v>27</v>
      </c>
      <c r="I237" s="16">
        <v>1.1499999999999999</v>
      </c>
      <c r="J237" s="16">
        <f>الجدول336112[[#This Row],[إفرادي القطعة الواحدة]]*0.2397184</f>
        <v>0.27567616</v>
      </c>
      <c r="K237" s="16">
        <f>الجدول336112[[#This Row],[إفرادي القطعة الواحدة]]+الجدول336112[[#This Row],[أجور الشحن للقطعة الواحدة]]</f>
        <v>1.4256761599999999</v>
      </c>
      <c r="L237" s="16">
        <f>الجدول336112[[#This Row],[العدد]]*الجدول336112[[#This Row],[إجمالي تكلفة القطعة الواحدة]]</f>
        <v>38.493256319999993</v>
      </c>
      <c r="M237" s="16" t="s">
        <v>5</v>
      </c>
      <c r="N237" s="18">
        <v>31</v>
      </c>
      <c r="O237" s="19"/>
      <c r="P237" s="18"/>
    </row>
    <row r="238" spans="1:16" s="20" customFormat="1" ht="45" customHeight="1" x14ac:dyDescent="0.2">
      <c r="A238" s="24"/>
      <c r="B238" s="15" t="str">
        <f>IF(الجدول336112[[#This Row],[اسم المسلّم]]="","",ROW()-8)</f>
        <v/>
      </c>
      <c r="C238" s="16"/>
      <c r="D238" s="17" t="s">
        <v>318</v>
      </c>
      <c r="E238" s="16" t="s">
        <v>295</v>
      </c>
      <c r="F238" s="16" t="s">
        <v>57</v>
      </c>
      <c r="G238" s="16" t="s">
        <v>341</v>
      </c>
      <c r="H238" s="16">
        <v>10</v>
      </c>
      <c r="I238" s="16">
        <v>1.32</v>
      </c>
      <c r="J238" s="16">
        <f>الجدول336112[[#This Row],[إفرادي القطعة الواحدة]]*0.2397184</f>
        <v>0.316428288</v>
      </c>
      <c r="K238" s="16">
        <f>الجدول336112[[#This Row],[إفرادي القطعة الواحدة]]+الجدول336112[[#This Row],[أجور الشحن للقطعة الواحدة]]</f>
        <v>1.6364282880000001</v>
      </c>
      <c r="L238" s="16">
        <f>الجدول336112[[#This Row],[العدد]]*الجدول336112[[#This Row],[إجمالي تكلفة القطعة الواحدة]]</f>
        <v>16.364282880000001</v>
      </c>
      <c r="M238" s="16" t="s">
        <v>5</v>
      </c>
      <c r="N238" s="18">
        <v>31</v>
      </c>
      <c r="O238" s="19"/>
      <c r="P238" s="18"/>
    </row>
    <row r="239" spans="1:16" s="20" customFormat="1" ht="45" customHeight="1" x14ac:dyDescent="0.2">
      <c r="A239" s="24"/>
      <c r="B239" s="15" t="str">
        <f>IF(الجدول336112[[#This Row],[اسم المسلّم]]="","",ROW()-8)</f>
        <v/>
      </c>
      <c r="C239" s="16"/>
      <c r="D239" s="17" t="s">
        <v>318</v>
      </c>
      <c r="E239" s="16" t="s">
        <v>295</v>
      </c>
      <c r="F239" s="16" t="s">
        <v>58</v>
      </c>
      <c r="G239" s="16" t="s">
        <v>341</v>
      </c>
      <c r="H239" s="16">
        <v>17</v>
      </c>
      <c r="I239" s="16">
        <v>1.1499999999999999</v>
      </c>
      <c r="J239" s="16">
        <f>الجدول336112[[#This Row],[إفرادي القطعة الواحدة]]*0.2397184</f>
        <v>0.27567616</v>
      </c>
      <c r="K239" s="16">
        <f>الجدول336112[[#This Row],[إفرادي القطعة الواحدة]]+الجدول336112[[#This Row],[أجور الشحن للقطعة الواحدة]]</f>
        <v>1.4256761599999999</v>
      </c>
      <c r="L239" s="16">
        <f>الجدول336112[[#This Row],[العدد]]*الجدول336112[[#This Row],[إجمالي تكلفة القطعة الواحدة]]</f>
        <v>24.236494719999996</v>
      </c>
      <c r="M239" s="16" t="s">
        <v>5</v>
      </c>
      <c r="N239" s="18">
        <v>31</v>
      </c>
      <c r="O239" s="19"/>
      <c r="P239" s="18"/>
    </row>
    <row r="240" spans="1:16" s="20" customFormat="1" ht="45" customHeight="1" x14ac:dyDescent="0.2">
      <c r="A240" s="24"/>
      <c r="B240" s="15" t="str">
        <f>IF(الجدول336112[[#This Row],[اسم المسلّم]]="","",ROW()-8)</f>
        <v/>
      </c>
      <c r="C240" s="16"/>
      <c r="D240" s="17" t="s">
        <v>318</v>
      </c>
      <c r="E240" s="16" t="s">
        <v>295</v>
      </c>
      <c r="F240" s="16" t="s">
        <v>60</v>
      </c>
      <c r="G240" s="16" t="s">
        <v>341</v>
      </c>
      <c r="H240" s="16">
        <v>14</v>
      </c>
      <c r="I240" s="16">
        <v>0.82</v>
      </c>
      <c r="J240" s="16">
        <f>الجدول336112[[#This Row],[إفرادي القطعة الواحدة]]*0.2397184</f>
        <v>0.19656908799999998</v>
      </c>
      <c r="K240" s="16">
        <f>الجدول336112[[#This Row],[إفرادي القطعة الواحدة]]+الجدول336112[[#This Row],[أجور الشحن للقطعة الواحدة]]</f>
        <v>1.016569088</v>
      </c>
      <c r="L240" s="16">
        <f>الجدول336112[[#This Row],[العدد]]*الجدول336112[[#This Row],[إجمالي تكلفة القطعة الواحدة]]</f>
        <v>14.231967232000001</v>
      </c>
      <c r="M240" s="16" t="s">
        <v>5</v>
      </c>
      <c r="N240" s="18">
        <v>31</v>
      </c>
      <c r="O240" s="19"/>
      <c r="P240" s="18"/>
    </row>
    <row r="241" spans="1:16" s="20" customFormat="1" ht="45" customHeight="1" x14ac:dyDescent="0.2">
      <c r="A241" s="24"/>
      <c r="B241" s="15" t="str">
        <f>IF(الجدول336112[[#This Row],[اسم المسلّم]]="","",ROW()-8)</f>
        <v/>
      </c>
      <c r="C241" s="16"/>
      <c r="D241" s="17" t="s">
        <v>318</v>
      </c>
      <c r="E241" s="16" t="s">
        <v>295</v>
      </c>
      <c r="F241" s="16" t="s">
        <v>61</v>
      </c>
      <c r="G241" s="16" t="s">
        <v>341</v>
      </c>
      <c r="H241" s="16">
        <v>14</v>
      </c>
      <c r="I241" s="16">
        <v>0.82</v>
      </c>
      <c r="J241" s="16">
        <f>الجدول336112[[#This Row],[إفرادي القطعة الواحدة]]*0.2397184</f>
        <v>0.19656908799999998</v>
      </c>
      <c r="K241" s="16">
        <f>الجدول336112[[#This Row],[إفرادي القطعة الواحدة]]+الجدول336112[[#This Row],[أجور الشحن للقطعة الواحدة]]</f>
        <v>1.016569088</v>
      </c>
      <c r="L241" s="16">
        <f>الجدول336112[[#This Row],[العدد]]*الجدول336112[[#This Row],[إجمالي تكلفة القطعة الواحدة]]</f>
        <v>14.231967232000001</v>
      </c>
      <c r="M241" s="16" t="s">
        <v>5</v>
      </c>
      <c r="N241" s="18">
        <v>31</v>
      </c>
      <c r="O241" s="19"/>
      <c r="P241" s="18"/>
    </row>
    <row r="242" spans="1:16" s="20" customFormat="1" ht="45" customHeight="1" x14ac:dyDescent="0.2">
      <c r="A242" s="24"/>
      <c r="B242" s="15" t="str">
        <f>IF(الجدول336112[[#This Row],[اسم المسلّم]]="","",ROW()-8)</f>
        <v/>
      </c>
      <c r="C242" s="16"/>
      <c r="D242" s="17" t="s">
        <v>318</v>
      </c>
      <c r="E242" s="16" t="s">
        <v>295</v>
      </c>
      <c r="F242" s="16" t="s">
        <v>59</v>
      </c>
      <c r="G242" s="16" t="s">
        <v>341</v>
      </c>
      <c r="H242" s="16">
        <v>300</v>
      </c>
      <c r="I242" s="16">
        <v>1.05</v>
      </c>
      <c r="J242" s="16">
        <f>الجدول336112[[#This Row],[إفرادي القطعة الواحدة]]*0.2397184</f>
        <v>0.25170431999999998</v>
      </c>
      <c r="K242" s="16">
        <f>الجدول336112[[#This Row],[إفرادي القطعة الواحدة]]+الجدول336112[[#This Row],[أجور الشحن للقطعة الواحدة]]</f>
        <v>1.30170432</v>
      </c>
      <c r="L242" s="16">
        <f>الجدول336112[[#This Row],[العدد]]*الجدول336112[[#This Row],[إجمالي تكلفة القطعة الواحدة]]</f>
        <v>390.51129600000002</v>
      </c>
      <c r="M242" s="16" t="s">
        <v>5</v>
      </c>
      <c r="N242" s="18">
        <v>31</v>
      </c>
      <c r="O242" s="19"/>
      <c r="P242" s="18"/>
    </row>
    <row r="243" spans="1:16" s="20" customFormat="1" ht="45" customHeight="1" x14ac:dyDescent="0.2">
      <c r="A243" s="24"/>
      <c r="B243" s="15" t="str">
        <f>IF(الجدول336112[[#This Row],[اسم المسلّم]]="","",ROW()-8)</f>
        <v/>
      </c>
      <c r="C243" s="16"/>
      <c r="D243" s="17" t="s">
        <v>318</v>
      </c>
      <c r="E243" s="16" t="s">
        <v>295</v>
      </c>
      <c r="F243" s="16" t="s">
        <v>62</v>
      </c>
      <c r="G243" s="16" t="s">
        <v>341</v>
      </c>
      <c r="H243" s="16">
        <v>100</v>
      </c>
      <c r="I243" s="16">
        <v>1.48</v>
      </c>
      <c r="J243" s="16">
        <f>الجدول336112[[#This Row],[إفرادي القطعة الواحدة]]*0.2397184</f>
        <v>0.354783232</v>
      </c>
      <c r="K243" s="16">
        <f>الجدول336112[[#This Row],[إفرادي القطعة الواحدة]]+الجدول336112[[#This Row],[أجور الشحن للقطعة الواحدة]]</f>
        <v>1.8347832319999999</v>
      </c>
      <c r="L243" s="16">
        <f>الجدول336112[[#This Row],[العدد]]*الجدول336112[[#This Row],[إجمالي تكلفة القطعة الواحدة]]</f>
        <v>183.47832320000001</v>
      </c>
      <c r="M243" s="16" t="s">
        <v>5</v>
      </c>
      <c r="N243" s="18">
        <v>31</v>
      </c>
      <c r="O243" s="19"/>
      <c r="P243" s="18"/>
    </row>
    <row r="244" spans="1:16" s="20" customFormat="1" ht="45" customHeight="1" x14ac:dyDescent="0.2">
      <c r="A244" s="24"/>
      <c r="B244" s="15" t="str">
        <f>IF(الجدول336112[[#This Row],[اسم المسلّم]]="","",ROW()-8)</f>
        <v/>
      </c>
      <c r="C244" s="16"/>
      <c r="D244" s="17" t="s">
        <v>318</v>
      </c>
      <c r="E244" s="16" t="s">
        <v>295</v>
      </c>
      <c r="F244" s="16" t="s">
        <v>63</v>
      </c>
      <c r="G244" s="16" t="s">
        <v>341</v>
      </c>
      <c r="H244" s="16">
        <v>19</v>
      </c>
      <c r="I244" s="16">
        <v>1.48</v>
      </c>
      <c r="J244" s="16">
        <f>الجدول336112[[#This Row],[إفرادي القطعة الواحدة]]*0.2397184</f>
        <v>0.354783232</v>
      </c>
      <c r="K244" s="16">
        <f>الجدول336112[[#This Row],[إفرادي القطعة الواحدة]]+الجدول336112[[#This Row],[أجور الشحن للقطعة الواحدة]]</f>
        <v>1.8347832319999999</v>
      </c>
      <c r="L244" s="16">
        <f>الجدول336112[[#This Row],[العدد]]*الجدول336112[[#This Row],[إجمالي تكلفة القطعة الواحدة]]</f>
        <v>34.860881407999997</v>
      </c>
      <c r="M244" s="16" t="s">
        <v>5</v>
      </c>
      <c r="N244" s="18">
        <v>31</v>
      </c>
      <c r="O244" s="19"/>
      <c r="P244" s="18"/>
    </row>
    <row r="245" spans="1:16" s="20" customFormat="1" ht="45" customHeight="1" x14ac:dyDescent="0.2">
      <c r="A245" s="24"/>
      <c r="B245" s="15" t="str">
        <f>IF(الجدول336112[[#This Row],[اسم المسلّم]]="","",ROW()-8)</f>
        <v/>
      </c>
      <c r="C245" s="16"/>
      <c r="D245" s="17" t="s">
        <v>318</v>
      </c>
      <c r="E245" s="16" t="s">
        <v>295</v>
      </c>
      <c r="F245" s="16" t="s">
        <v>62</v>
      </c>
      <c r="G245" s="16" t="s">
        <v>341</v>
      </c>
      <c r="H245" s="16">
        <v>19</v>
      </c>
      <c r="I245" s="16">
        <v>1.48</v>
      </c>
      <c r="J245" s="16">
        <f>الجدول336112[[#This Row],[إفرادي القطعة الواحدة]]*0.2397184</f>
        <v>0.354783232</v>
      </c>
      <c r="K245" s="16">
        <f>الجدول336112[[#This Row],[إفرادي القطعة الواحدة]]+الجدول336112[[#This Row],[أجور الشحن للقطعة الواحدة]]</f>
        <v>1.8347832319999999</v>
      </c>
      <c r="L245" s="16">
        <f>الجدول336112[[#This Row],[العدد]]*الجدول336112[[#This Row],[إجمالي تكلفة القطعة الواحدة]]</f>
        <v>34.860881407999997</v>
      </c>
      <c r="M245" s="16" t="s">
        <v>5</v>
      </c>
      <c r="N245" s="18">
        <v>31</v>
      </c>
      <c r="O245" s="19"/>
      <c r="P245" s="18"/>
    </row>
    <row r="246" spans="1:16" s="20" customFormat="1" ht="45" customHeight="1" x14ac:dyDescent="0.2">
      <c r="A246" s="24"/>
      <c r="B246" s="15" t="str">
        <f>IF(الجدول336112[[#This Row],[اسم المسلّم]]="","",ROW()-8)</f>
        <v/>
      </c>
      <c r="C246" s="16"/>
      <c r="D246" s="17" t="s">
        <v>318</v>
      </c>
      <c r="E246" s="16" t="s">
        <v>295</v>
      </c>
      <c r="F246" s="16" t="s">
        <v>62</v>
      </c>
      <c r="G246" s="16" t="s">
        <v>341</v>
      </c>
      <c r="H246" s="16">
        <v>50</v>
      </c>
      <c r="I246" s="16">
        <v>1.48</v>
      </c>
      <c r="J246" s="16">
        <f>الجدول336112[[#This Row],[إفرادي القطعة الواحدة]]*0.2397184</f>
        <v>0.354783232</v>
      </c>
      <c r="K246" s="16">
        <f>الجدول336112[[#This Row],[إفرادي القطعة الواحدة]]+الجدول336112[[#This Row],[أجور الشحن للقطعة الواحدة]]</f>
        <v>1.8347832319999999</v>
      </c>
      <c r="L246" s="16">
        <f>الجدول336112[[#This Row],[العدد]]*الجدول336112[[#This Row],[إجمالي تكلفة القطعة الواحدة]]</f>
        <v>91.739161600000003</v>
      </c>
      <c r="M246" s="16" t="s">
        <v>5</v>
      </c>
      <c r="N246" s="18">
        <v>31</v>
      </c>
      <c r="O246" s="19"/>
      <c r="P246" s="18"/>
    </row>
    <row r="247" spans="1:16" s="20" customFormat="1" ht="45" customHeight="1" x14ac:dyDescent="0.2">
      <c r="A247" s="24"/>
      <c r="B247" s="15" t="str">
        <f>IF(الجدول336112[[#This Row],[اسم المسلّم]]="","",ROW()-8)</f>
        <v/>
      </c>
      <c r="C247" s="16"/>
      <c r="D247" s="17" t="s">
        <v>318</v>
      </c>
      <c r="E247" s="16" t="s">
        <v>295</v>
      </c>
      <c r="F247" s="16" t="s">
        <v>71</v>
      </c>
      <c r="G247" s="16" t="s">
        <v>341</v>
      </c>
      <c r="H247" s="16">
        <v>8</v>
      </c>
      <c r="I247" s="16">
        <v>0.98</v>
      </c>
      <c r="J247" s="16">
        <f>الجدول336112[[#This Row],[إفرادي القطعة الواحدة]]*0.2397184</f>
        <v>0.234924032</v>
      </c>
      <c r="K247" s="16">
        <f>الجدول336112[[#This Row],[إفرادي القطعة الواحدة]]+الجدول336112[[#This Row],[أجور الشحن للقطعة الواحدة]]</f>
        <v>1.2149240319999999</v>
      </c>
      <c r="L247" s="16">
        <f>الجدول336112[[#This Row],[العدد]]*الجدول336112[[#This Row],[إجمالي تكلفة القطعة الواحدة]]</f>
        <v>9.719392255999999</v>
      </c>
      <c r="M247" s="16" t="s">
        <v>5</v>
      </c>
      <c r="N247" s="18">
        <v>31</v>
      </c>
      <c r="O247" s="19"/>
      <c r="P247" s="18"/>
    </row>
    <row r="248" spans="1:16" s="20" customFormat="1" ht="45" customHeight="1" x14ac:dyDescent="0.2">
      <c r="A248" s="24"/>
      <c r="B248" s="15" t="str">
        <f>IF(الجدول336112[[#This Row],[اسم المسلّم]]="","",ROW()-8)</f>
        <v/>
      </c>
      <c r="C248" s="16"/>
      <c r="D248" s="17" t="s">
        <v>318</v>
      </c>
      <c r="E248" s="16" t="s">
        <v>295</v>
      </c>
      <c r="F248" s="16" t="s">
        <v>72</v>
      </c>
      <c r="G248" s="16" t="s">
        <v>341</v>
      </c>
      <c r="H248" s="16">
        <v>60</v>
      </c>
      <c r="I248" s="16">
        <v>0.98</v>
      </c>
      <c r="J248" s="16">
        <f>الجدول336112[[#This Row],[إفرادي القطعة الواحدة]]*0.2397184</f>
        <v>0.234924032</v>
      </c>
      <c r="K248" s="16">
        <f>الجدول336112[[#This Row],[إفرادي القطعة الواحدة]]+الجدول336112[[#This Row],[أجور الشحن للقطعة الواحدة]]</f>
        <v>1.2149240319999999</v>
      </c>
      <c r="L248" s="16">
        <f>الجدول336112[[#This Row],[العدد]]*الجدول336112[[#This Row],[إجمالي تكلفة القطعة الواحدة]]</f>
        <v>72.895441919999996</v>
      </c>
      <c r="M248" s="16" t="s">
        <v>5</v>
      </c>
      <c r="N248" s="18">
        <v>31</v>
      </c>
      <c r="O248" s="19"/>
      <c r="P248" s="18"/>
    </row>
    <row r="249" spans="1:16" s="20" customFormat="1" ht="45" customHeight="1" x14ac:dyDescent="0.2">
      <c r="A249" s="24"/>
      <c r="B249" s="15" t="str">
        <f>IF(الجدول336112[[#This Row],[اسم المسلّم]]="","",ROW()-8)</f>
        <v/>
      </c>
      <c r="C249" s="16"/>
      <c r="D249" s="17" t="s">
        <v>318</v>
      </c>
      <c r="E249" s="16" t="s">
        <v>295</v>
      </c>
      <c r="F249" s="16" t="s">
        <v>73</v>
      </c>
      <c r="G249" s="16" t="s">
        <v>341</v>
      </c>
      <c r="H249" s="16">
        <v>90</v>
      </c>
      <c r="I249" s="16">
        <v>0.82</v>
      </c>
      <c r="J249" s="16">
        <f>الجدول336112[[#This Row],[إفرادي القطعة الواحدة]]*0.2397184</f>
        <v>0.19656908799999998</v>
      </c>
      <c r="K249" s="16">
        <f>الجدول336112[[#This Row],[إفرادي القطعة الواحدة]]+الجدول336112[[#This Row],[أجور الشحن للقطعة الواحدة]]</f>
        <v>1.016569088</v>
      </c>
      <c r="L249" s="16">
        <f>الجدول336112[[#This Row],[العدد]]*الجدول336112[[#This Row],[إجمالي تكلفة القطعة الواحدة]]</f>
        <v>91.491217919999997</v>
      </c>
      <c r="M249" s="16" t="s">
        <v>5</v>
      </c>
      <c r="N249" s="18">
        <v>31</v>
      </c>
      <c r="O249" s="19"/>
      <c r="P249" s="18"/>
    </row>
    <row r="250" spans="1:16" s="20" customFormat="1" ht="45" customHeight="1" x14ac:dyDescent="0.2">
      <c r="A250" s="24"/>
      <c r="B250" s="15" t="str">
        <f>IF(الجدول336112[[#This Row],[اسم المسلّم]]="","",ROW()-8)</f>
        <v/>
      </c>
      <c r="C250" s="16"/>
      <c r="D250" s="17" t="s">
        <v>318</v>
      </c>
      <c r="E250" s="16" t="s">
        <v>295</v>
      </c>
      <c r="F250" s="16" t="s">
        <v>79</v>
      </c>
      <c r="G250" s="16" t="s">
        <v>341</v>
      </c>
      <c r="H250" s="16">
        <v>50</v>
      </c>
      <c r="I250" s="16">
        <v>0.82</v>
      </c>
      <c r="J250" s="16">
        <f>الجدول336112[[#This Row],[إفرادي القطعة الواحدة]]*0.2397184</f>
        <v>0.19656908799999998</v>
      </c>
      <c r="K250" s="16">
        <f>الجدول336112[[#This Row],[إفرادي القطعة الواحدة]]+الجدول336112[[#This Row],[أجور الشحن للقطعة الواحدة]]</f>
        <v>1.016569088</v>
      </c>
      <c r="L250" s="16">
        <f>الجدول336112[[#This Row],[العدد]]*الجدول336112[[#This Row],[إجمالي تكلفة القطعة الواحدة]]</f>
        <v>50.828454399999998</v>
      </c>
      <c r="M250" s="16" t="s">
        <v>5</v>
      </c>
      <c r="N250" s="18">
        <v>31</v>
      </c>
      <c r="O250" s="19"/>
      <c r="P250" s="18"/>
    </row>
    <row r="251" spans="1:16" s="20" customFormat="1" ht="45" customHeight="1" x14ac:dyDescent="0.2">
      <c r="A251" s="24"/>
      <c r="B251" s="15" t="str">
        <f>IF(الجدول336112[[#This Row],[اسم المسلّم]]="","",ROW()-8)</f>
        <v/>
      </c>
      <c r="C251" s="16"/>
      <c r="D251" s="17" t="s">
        <v>318</v>
      </c>
      <c r="E251" s="16" t="s">
        <v>295</v>
      </c>
      <c r="F251" s="16" t="s">
        <v>80</v>
      </c>
      <c r="G251" s="16" t="s">
        <v>341</v>
      </c>
      <c r="H251" s="16">
        <v>15</v>
      </c>
      <c r="I251" s="16">
        <v>0.82</v>
      </c>
      <c r="J251" s="16">
        <f>الجدول336112[[#This Row],[إفرادي القطعة الواحدة]]*0.2397184</f>
        <v>0.19656908799999998</v>
      </c>
      <c r="K251" s="16">
        <f>الجدول336112[[#This Row],[إفرادي القطعة الواحدة]]+الجدول336112[[#This Row],[أجور الشحن للقطعة الواحدة]]</f>
        <v>1.016569088</v>
      </c>
      <c r="L251" s="16">
        <f>الجدول336112[[#This Row],[العدد]]*الجدول336112[[#This Row],[إجمالي تكلفة القطعة الواحدة]]</f>
        <v>15.248536319999999</v>
      </c>
      <c r="M251" s="16" t="s">
        <v>5</v>
      </c>
      <c r="N251" s="18">
        <v>31</v>
      </c>
      <c r="O251" s="19"/>
      <c r="P251" s="18"/>
    </row>
    <row r="252" spans="1:16" s="20" customFormat="1" ht="45" customHeight="1" x14ac:dyDescent="0.2">
      <c r="A252" s="24"/>
      <c r="B252" s="15" t="str">
        <f>IF(الجدول336112[[#This Row],[اسم المسلّم]]="","",ROW()-8)</f>
        <v/>
      </c>
      <c r="C252" s="16"/>
      <c r="D252" s="17" t="s">
        <v>318</v>
      </c>
      <c r="E252" s="16" t="s">
        <v>295</v>
      </c>
      <c r="F252" s="16" t="s">
        <v>81</v>
      </c>
      <c r="G252" s="16" t="s">
        <v>341</v>
      </c>
      <c r="H252" s="16">
        <v>2</v>
      </c>
      <c r="I252" s="16">
        <v>2.15</v>
      </c>
      <c r="J252" s="16">
        <f>الجدول336112[[#This Row],[إفرادي القطعة الواحدة]]*0.2397184</f>
        <v>0.51539455999999995</v>
      </c>
      <c r="K252" s="16">
        <f>الجدول336112[[#This Row],[إفرادي القطعة الواحدة]]+الجدول336112[[#This Row],[أجور الشحن للقطعة الواحدة]]</f>
        <v>2.6653945599999997</v>
      </c>
      <c r="L252" s="16">
        <f>الجدول336112[[#This Row],[العدد]]*الجدول336112[[#This Row],[إجمالي تكلفة القطعة الواحدة]]</f>
        <v>5.3307891199999995</v>
      </c>
      <c r="M252" s="16" t="s">
        <v>5</v>
      </c>
      <c r="N252" s="18">
        <v>31</v>
      </c>
      <c r="O252" s="19"/>
      <c r="P252" s="18"/>
    </row>
    <row r="253" spans="1:16" s="20" customFormat="1" ht="45" customHeight="1" x14ac:dyDescent="0.2">
      <c r="A253" s="24"/>
      <c r="B253" s="15" t="str">
        <f>IF(الجدول336112[[#This Row],[اسم المسلّم]]="","",ROW()-8)</f>
        <v/>
      </c>
      <c r="C253" s="16"/>
      <c r="D253" s="17" t="s">
        <v>318</v>
      </c>
      <c r="E253" s="16" t="s">
        <v>295</v>
      </c>
      <c r="F253" s="16" t="s">
        <v>82</v>
      </c>
      <c r="G253" s="16" t="s">
        <v>341</v>
      </c>
      <c r="H253" s="16">
        <v>30</v>
      </c>
      <c r="I253" s="16">
        <v>0.82</v>
      </c>
      <c r="J253" s="16">
        <f>الجدول336112[[#This Row],[إفرادي القطعة الواحدة]]*0.2397184</f>
        <v>0.19656908799999998</v>
      </c>
      <c r="K253" s="16">
        <f>الجدول336112[[#This Row],[إفرادي القطعة الواحدة]]+الجدول336112[[#This Row],[أجور الشحن للقطعة الواحدة]]</f>
        <v>1.016569088</v>
      </c>
      <c r="L253" s="16">
        <f>الجدول336112[[#This Row],[العدد]]*الجدول336112[[#This Row],[إجمالي تكلفة القطعة الواحدة]]</f>
        <v>30.497072639999999</v>
      </c>
      <c r="M253" s="16" t="s">
        <v>5</v>
      </c>
      <c r="N253" s="18">
        <v>31</v>
      </c>
      <c r="O253" s="19"/>
      <c r="P253" s="18"/>
    </row>
    <row r="254" spans="1:16" s="20" customFormat="1" ht="45" customHeight="1" x14ac:dyDescent="0.2">
      <c r="A254" s="24"/>
      <c r="B254" s="15" t="str">
        <f>IF(الجدول336112[[#This Row],[اسم المسلّم]]="","",ROW()-8)</f>
        <v/>
      </c>
      <c r="C254" s="16"/>
      <c r="D254" s="17" t="s">
        <v>318</v>
      </c>
      <c r="E254" s="16" t="s">
        <v>295</v>
      </c>
      <c r="F254" s="16" t="s">
        <v>83</v>
      </c>
      <c r="G254" s="16" t="s">
        <v>341</v>
      </c>
      <c r="H254" s="16">
        <v>22</v>
      </c>
      <c r="I254" s="16">
        <v>0.82</v>
      </c>
      <c r="J254" s="16">
        <f>الجدول336112[[#This Row],[إفرادي القطعة الواحدة]]*0.2397184</f>
        <v>0.19656908799999998</v>
      </c>
      <c r="K254" s="16">
        <f>الجدول336112[[#This Row],[إفرادي القطعة الواحدة]]+الجدول336112[[#This Row],[أجور الشحن للقطعة الواحدة]]</f>
        <v>1.016569088</v>
      </c>
      <c r="L254" s="16">
        <f>الجدول336112[[#This Row],[العدد]]*الجدول336112[[#This Row],[إجمالي تكلفة القطعة الواحدة]]</f>
        <v>22.364519936000001</v>
      </c>
      <c r="M254" s="16" t="s">
        <v>5</v>
      </c>
      <c r="N254" s="18">
        <v>31</v>
      </c>
      <c r="O254" s="19"/>
      <c r="P254" s="18"/>
    </row>
    <row r="255" spans="1:16" s="20" customFormat="1" ht="45" customHeight="1" x14ac:dyDescent="0.2">
      <c r="A255" s="24"/>
      <c r="B255" s="15" t="str">
        <f>IF(الجدول336112[[#This Row],[اسم المسلّم]]="","",ROW()-8)</f>
        <v/>
      </c>
      <c r="C255" s="16"/>
      <c r="D255" s="17" t="s">
        <v>318</v>
      </c>
      <c r="E255" s="16" t="s">
        <v>295</v>
      </c>
      <c r="F255" s="16" t="s">
        <v>73</v>
      </c>
      <c r="G255" s="16" t="s">
        <v>341</v>
      </c>
      <c r="H255" s="16">
        <v>2</v>
      </c>
      <c r="I255" s="16">
        <v>0.82</v>
      </c>
      <c r="J255" s="16">
        <f>الجدول336112[[#This Row],[إفرادي القطعة الواحدة]]*0.2397184</f>
        <v>0.19656908799999998</v>
      </c>
      <c r="K255" s="16">
        <f>الجدول336112[[#This Row],[إفرادي القطعة الواحدة]]+الجدول336112[[#This Row],[أجور الشحن للقطعة الواحدة]]</f>
        <v>1.016569088</v>
      </c>
      <c r="L255" s="16">
        <f>الجدول336112[[#This Row],[العدد]]*الجدول336112[[#This Row],[إجمالي تكلفة القطعة الواحدة]]</f>
        <v>2.033138176</v>
      </c>
      <c r="M255" s="16" t="s">
        <v>5</v>
      </c>
      <c r="N255" s="18">
        <v>31</v>
      </c>
      <c r="O255" s="19"/>
      <c r="P255" s="18"/>
    </row>
    <row r="256" spans="1:16" s="20" customFormat="1" ht="45" customHeight="1" x14ac:dyDescent="0.2">
      <c r="A256" s="24"/>
      <c r="B256" s="15" t="str">
        <f>IF(الجدول336112[[#This Row],[اسم المسلّم]]="","",ROW()-8)</f>
        <v/>
      </c>
      <c r="C256" s="16"/>
      <c r="D256" s="17" t="s">
        <v>318</v>
      </c>
      <c r="E256" s="16" t="s">
        <v>295</v>
      </c>
      <c r="F256" s="16" t="s">
        <v>84</v>
      </c>
      <c r="G256" s="16" t="s">
        <v>341</v>
      </c>
      <c r="H256" s="16">
        <v>9</v>
      </c>
      <c r="I256" s="16">
        <v>0.57999999999999996</v>
      </c>
      <c r="J256" s="16">
        <f>الجدول336112[[#This Row],[إفرادي القطعة الواحدة]]*0.2397184</f>
        <v>0.139036672</v>
      </c>
      <c r="K256" s="16">
        <f>الجدول336112[[#This Row],[إفرادي القطعة الواحدة]]+الجدول336112[[#This Row],[أجور الشحن للقطعة الواحدة]]</f>
        <v>0.71903667199999999</v>
      </c>
      <c r="L256" s="16">
        <f>الجدول336112[[#This Row],[العدد]]*الجدول336112[[#This Row],[إجمالي تكلفة القطعة الواحدة]]</f>
        <v>6.4713300479999996</v>
      </c>
      <c r="M256" s="16" t="s">
        <v>5</v>
      </c>
      <c r="N256" s="18">
        <v>31</v>
      </c>
      <c r="O256" s="19"/>
      <c r="P256" s="18"/>
    </row>
    <row r="257" spans="1:16" s="20" customFormat="1" ht="45" customHeight="1" x14ac:dyDescent="0.2">
      <c r="A257" s="24"/>
      <c r="B257" s="15" t="str">
        <f>IF(الجدول336112[[#This Row],[اسم المسلّم]]="","",ROW()-8)</f>
        <v/>
      </c>
      <c r="C257" s="16"/>
      <c r="D257" s="17" t="s">
        <v>318</v>
      </c>
      <c r="E257" s="16" t="s">
        <v>295</v>
      </c>
      <c r="F257" s="16" t="s">
        <v>85</v>
      </c>
      <c r="G257" s="16" t="s">
        <v>341</v>
      </c>
      <c r="H257" s="16">
        <v>4</v>
      </c>
      <c r="I257" s="16">
        <v>0.57999999999999996</v>
      </c>
      <c r="J257" s="16">
        <f>الجدول336112[[#This Row],[إفرادي القطعة الواحدة]]*0.2397184</f>
        <v>0.139036672</v>
      </c>
      <c r="K257" s="16">
        <f>الجدول336112[[#This Row],[إفرادي القطعة الواحدة]]+الجدول336112[[#This Row],[أجور الشحن للقطعة الواحدة]]</f>
        <v>0.71903667199999999</v>
      </c>
      <c r="L257" s="16">
        <f>الجدول336112[[#This Row],[العدد]]*الجدول336112[[#This Row],[إجمالي تكلفة القطعة الواحدة]]</f>
        <v>2.876146688</v>
      </c>
      <c r="M257" s="16" t="s">
        <v>5</v>
      </c>
      <c r="N257" s="18">
        <v>31</v>
      </c>
      <c r="O257" s="19"/>
      <c r="P257" s="18"/>
    </row>
    <row r="258" spans="1:16" s="20" customFormat="1" ht="45" customHeight="1" x14ac:dyDescent="0.2">
      <c r="A258" s="24"/>
      <c r="B258" s="15" t="str">
        <f>IF(الجدول336112[[#This Row],[اسم المسلّم]]="","",ROW()-8)</f>
        <v/>
      </c>
      <c r="C258" s="16"/>
      <c r="D258" s="17" t="s">
        <v>318</v>
      </c>
      <c r="E258" s="16" t="s">
        <v>295</v>
      </c>
      <c r="F258" s="16" t="s">
        <v>86</v>
      </c>
      <c r="G258" s="16" t="s">
        <v>341</v>
      </c>
      <c r="H258" s="16">
        <v>36</v>
      </c>
      <c r="I258" s="16">
        <v>0.57999999999999996</v>
      </c>
      <c r="J258" s="16">
        <f>الجدول336112[[#This Row],[إفرادي القطعة الواحدة]]*0.2397184</f>
        <v>0.139036672</v>
      </c>
      <c r="K258" s="16">
        <f>الجدول336112[[#This Row],[إفرادي القطعة الواحدة]]+الجدول336112[[#This Row],[أجور الشحن للقطعة الواحدة]]</f>
        <v>0.71903667199999999</v>
      </c>
      <c r="L258" s="16">
        <f>الجدول336112[[#This Row],[العدد]]*الجدول336112[[#This Row],[إجمالي تكلفة القطعة الواحدة]]</f>
        <v>25.885320191999998</v>
      </c>
      <c r="M258" s="16" t="s">
        <v>5</v>
      </c>
      <c r="N258" s="18">
        <v>31</v>
      </c>
      <c r="O258" s="19"/>
      <c r="P258" s="18"/>
    </row>
    <row r="259" spans="1:16" s="20" customFormat="1" ht="45" customHeight="1" x14ac:dyDescent="0.2">
      <c r="A259" s="24"/>
      <c r="B259" s="15" t="str">
        <f>IF(الجدول336112[[#This Row],[اسم المسلّم]]="","",ROW()-8)</f>
        <v/>
      </c>
      <c r="C259" s="16"/>
      <c r="D259" s="17" t="s">
        <v>318</v>
      </c>
      <c r="E259" s="16" t="s">
        <v>295</v>
      </c>
      <c r="F259" s="16" t="s">
        <v>87</v>
      </c>
      <c r="G259" s="16" t="s">
        <v>341</v>
      </c>
      <c r="H259" s="16">
        <v>5</v>
      </c>
      <c r="I259" s="16">
        <v>0.65</v>
      </c>
      <c r="J259" s="16">
        <f>الجدول336112[[#This Row],[إفرادي القطعة الواحدة]]*0.2397184</f>
        <v>0.15581696</v>
      </c>
      <c r="K259" s="16">
        <f>الجدول336112[[#This Row],[إفرادي القطعة الواحدة]]+الجدول336112[[#This Row],[أجور الشحن للقطعة الواحدة]]</f>
        <v>0.80581696000000003</v>
      </c>
      <c r="L259" s="16">
        <f>الجدول336112[[#This Row],[العدد]]*الجدول336112[[#This Row],[إجمالي تكلفة القطعة الواحدة]]</f>
        <v>4.0290847999999997</v>
      </c>
      <c r="M259" s="16" t="s">
        <v>5</v>
      </c>
      <c r="N259" s="18">
        <v>31</v>
      </c>
      <c r="O259" s="19"/>
      <c r="P259" s="18"/>
    </row>
    <row r="260" spans="1:16" s="20" customFormat="1" ht="45" customHeight="1" x14ac:dyDescent="0.2">
      <c r="A260" s="24"/>
      <c r="B260" s="15" t="str">
        <f>IF(الجدول336112[[#This Row],[اسم المسلّم]]="","",ROW()-8)</f>
        <v/>
      </c>
      <c r="C260" s="16"/>
      <c r="D260" s="17" t="s">
        <v>318</v>
      </c>
      <c r="E260" s="16" t="s">
        <v>295</v>
      </c>
      <c r="F260" s="16" t="s">
        <v>88</v>
      </c>
      <c r="G260" s="16" t="s">
        <v>341</v>
      </c>
      <c r="H260" s="16">
        <v>20</v>
      </c>
      <c r="I260" s="16">
        <v>0.65</v>
      </c>
      <c r="J260" s="16">
        <f>الجدول336112[[#This Row],[إفرادي القطعة الواحدة]]*0.2397184</f>
        <v>0.15581696</v>
      </c>
      <c r="K260" s="16">
        <f>الجدول336112[[#This Row],[إفرادي القطعة الواحدة]]+الجدول336112[[#This Row],[أجور الشحن للقطعة الواحدة]]</f>
        <v>0.80581696000000003</v>
      </c>
      <c r="L260" s="16">
        <f>الجدول336112[[#This Row],[العدد]]*الجدول336112[[#This Row],[إجمالي تكلفة القطعة الواحدة]]</f>
        <v>16.116339199999999</v>
      </c>
      <c r="M260" s="16" t="s">
        <v>5</v>
      </c>
      <c r="N260" s="18">
        <v>31</v>
      </c>
      <c r="O260" s="19"/>
      <c r="P260" s="18"/>
    </row>
    <row r="261" spans="1:16" s="20" customFormat="1" ht="45" customHeight="1" x14ac:dyDescent="0.2">
      <c r="A261" s="24"/>
      <c r="B261" s="15" t="str">
        <f>IF(الجدول336112[[#This Row],[اسم المسلّم]]="","",ROW()-8)</f>
        <v/>
      </c>
      <c r="C261" s="16"/>
      <c r="D261" s="17" t="s">
        <v>318</v>
      </c>
      <c r="E261" s="16" t="s">
        <v>295</v>
      </c>
      <c r="F261" s="16" t="s">
        <v>90</v>
      </c>
      <c r="G261" s="16" t="s">
        <v>341</v>
      </c>
      <c r="H261" s="16">
        <v>20</v>
      </c>
      <c r="I261" s="16">
        <v>0.65</v>
      </c>
      <c r="J261" s="16">
        <f>الجدول336112[[#This Row],[إفرادي القطعة الواحدة]]*0.2397184</f>
        <v>0.15581696</v>
      </c>
      <c r="K261" s="16">
        <f>الجدول336112[[#This Row],[إفرادي القطعة الواحدة]]+الجدول336112[[#This Row],[أجور الشحن للقطعة الواحدة]]</f>
        <v>0.80581696000000003</v>
      </c>
      <c r="L261" s="16">
        <f>الجدول336112[[#This Row],[العدد]]*الجدول336112[[#This Row],[إجمالي تكلفة القطعة الواحدة]]</f>
        <v>16.116339199999999</v>
      </c>
      <c r="M261" s="16" t="s">
        <v>5</v>
      </c>
      <c r="N261" s="18">
        <v>31</v>
      </c>
      <c r="O261" s="19"/>
      <c r="P261" s="18"/>
    </row>
    <row r="262" spans="1:16" s="20" customFormat="1" ht="45" customHeight="1" x14ac:dyDescent="0.2">
      <c r="A262" s="24"/>
      <c r="B262" s="15" t="str">
        <f>IF(الجدول336112[[#This Row],[اسم المسلّم]]="","",ROW()-8)</f>
        <v/>
      </c>
      <c r="C262" s="16"/>
      <c r="D262" s="17" t="s">
        <v>318</v>
      </c>
      <c r="E262" s="16" t="s">
        <v>295</v>
      </c>
      <c r="F262" s="16" t="s">
        <v>89</v>
      </c>
      <c r="G262" s="16" t="s">
        <v>341</v>
      </c>
      <c r="H262" s="16">
        <v>5</v>
      </c>
      <c r="I262" s="16">
        <v>0.65</v>
      </c>
      <c r="J262" s="16">
        <f>الجدول336112[[#This Row],[إفرادي القطعة الواحدة]]*0.2397184</f>
        <v>0.15581696</v>
      </c>
      <c r="K262" s="16">
        <f>الجدول336112[[#This Row],[إفرادي القطعة الواحدة]]+الجدول336112[[#This Row],[أجور الشحن للقطعة الواحدة]]</f>
        <v>0.80581696000000003</v>
      </c>
      <c r="L262" s="16">
        <f>الجدول336112[[#This Row],[العدد]]*الجدول336112[[#This Row],[إجمالي تكلفة القطعة الواحدة]]</f>
        <v>4.0290847999999997</v>
      </c>
      <c r="M262" s="16" t="s">
        <v>5</v>
      </c>
      <c r="N262" s="18">
        <v>31</v>
      </c>
      <c r="O262" s="19"/>
      <c r="P262" s="18"/>
    </row>
    <row r="263" spans="1:16" s="20" customFormat="1" ht="45" customHeight="1" x14ac:dyDescent="0.2">
      <c r="A263" s="24"/>
      <c r="B263" s="15" t="str">
        <f>IF(الجدول336112[[#This Row],[اسم المسلّم]]="","",ROW()-8)</f>
        <v/>
      </c>
      <c r="C263" s="16"/>
      <c r="D263" s="17" t="s">
        <v>318</v>
      </c>
      <c r="E263" s="16" t="s">
        <v>295</v>
      </c>
      <c r="F263" s="16" t="s">
        <v>59</v>
      </c>
      <c r="G263" s="16" t="s">
        <v>341</v>
      </c>
      <c r="H263" s="16">
        <v>300</v>
      </c>
      <c r="I263" s="16">
        <v>1.05</v>
      </c>
      <c r="J263" s="16">
        <f>الجدول336112[[#This Row],[إفرادي القطعة الواحدة]]*0.2397184</f>
        <v>0.25170431999999998</v>
      </c>
      <c r="K263" s="16">
        <f>الجدول336112[[#This Row],[إفرادي القطعة الواحدة]]+الجدول336112[[#This Row],[أجور الشحن للقطعة الواحدة]]</f>
        <v>1.30170432</v>
      </c>
      <c r="L263" s="16">
        <f>الجدول336112[[#This Row],[العدد]]*الجدول336112[[#This Row],[إجمالي تكلفة القطعة الواحدة]]</f>
        <v>390.51129600000002</v>
      </c>
      <c r="M263" s="16" t="s">
        <v>5</v>
      </c>
      <c r="N263" s="18">
        <v>31</v>
      </c>
      <c r="O263" s="19"/>
      <c r="P263" s="18"/>
    </row>
    <row r="264" spans="1:16" s="20" customFormat="1" ht="45" customHeight="1" x14ac:dyDescent="0.2">
      <c r="A264" s="24"/>
      <c r="B264" s="15" t="str">
        <f>IF(الجدول336112[[#This Row],[اسم المسلّم]]="","",ROW()-8)</f>
        <v/>
      </c>
      <c r="C264" s="16"/>
      <c r="D264" s="17" t="s">
        <v>318</v>
      </c>
      <c r="E264" s="16" t="s">
        <v>295</v>
      </c>
      <c r="F264" s="16" t="s">
        <v>120</v>
      </c>
      <c r="G264" s="16" t="s">
        <v>341</v>
      </c>
      <c r="H264" s="16">
        <v>12</v>
      </c>
      <c r="I264" s="16">
        <v>1.82</v>
      </c>
      <c r="J264" s="16">
        <f>الجدول336112[[#This Row],[إفرادي القطعة الواحدة]]*0.2397184</f>
        <v>0.436287488</v>
      </c>
      <c r="K264" s="16">
        <f>الجدول336112[[#This Row],[إفرادي القطعة الواحدة]]+الجدول336112[[#This Row],[أجور الشحن للقطعة الواحدة]]</f>
        <v>2.2562874879999999</v>
      </c>
      <c r="L264" s="16">
        <f>الجدول336112[[#This Row],[العدد]]*الجدول336112[[#This Row],[إجمالي تكلفة القطعة الواحدة]]</f>
        <v>27.075449855999999</v>
      </c>
      <c r="M264" s="16" t="s">
        <v>5</v>
      </c>
      <c r="N264" s="18">
        <v>31</v>
      </c>
      <c r="O264" s="19"/>
      <c r="P264" s="18"/>
    </row>
    <row r="265" spans="1:16" s="20" customFormat="1" ht="45" customHeight="1" x14ac:dyDescent="0.2">
      <c r="A265" s="24"/>
      <c r="B265" s="15" t="str">
        <f>IF(الجدول336112[[#This Row],[اسم المسلّم]]="","",ROW()-8)</f>
        <v/>
      </c>
      <c r="C265" s="16"/>
      <c r="D265" s="17" t="s">
        <v>318</v>
      </c>
      <c r="E265" s="16" t="s">
        <v>295</v>
      </c>
      <c r="F265" s="16" t="s">
        <v>121</v>
      </c>
      <c r="G265" s="16" t="s">
        <v>341</v>
      </c>
      <c r="H265" s="16">
        <v>19</v>
      </c>
      <c r="I265" s="16">
        <v>2.38</v>
      </c>
      <c r="J265" s="16">
        <f>الجدول336112[[#This Row],[إفرادي القطعة الواحدة]]*0.2397184</f>
        <v>0.57052979199999998</v>
      </c>
      <c r="K265" s="16">
        <f>الجدول336112[[#This Row],[إفرادي القطعة الواحدة]]+الجدول336112[[#This Row],[أجور الشحن للقطعة الواحدة]]</f>
        <v>2.9505297919999998</v>
      </c>
      <c r="L265" s="16">
        <f>الجدول336112[[#This Row],[العدد]]*الجدول336112[[#This Row],[إجمالي تكلفة القطعة الواحدة]]</f>
        <v>56.060066047999996</v>
      </c>
      <c r="M265" s="16" t="s">
        <v>5</v>
      </c>
      <c r="N265" s="18">
        <v>31</v>
      </c>
      <c r="O265" s="19"/>
      <c r="P265" s="18"/>
    </row>
    <row r="266" spans="1:16" s="20" customFormat="1" ht="45" customHeight="1" x14ac:dyDescent="0.2">
      <c r="A266" s="24"/>
      <c r="B266" s="15" t="str">
        <f>IF(الجدول336112[[#This Row],[اسم المسلّم]]="","",ROW()-8)</f>
        <v/>
      </c>
      <c r="C266" s="16"/>
      <c r="D266" s="17" t="s">
        <v>318</v>
      </c>
      <c r="E266" s="16" t="s">
        <v>295</v>
      </c>
      <c r="F266" s="16" t="s">
        <v>122</v>
      </c>
      <c r="G266" s="16" t="s">
        <v>341</v>
      </c>
      <c r="H266" s="16">
        <v>3</v>
      </c>
      <c r="I266" s="16">
        <v>1.72</v>
      </c>
      <c r="J266" s="16">
        <f>الجدول336112[[#This Row],[إفرادي القطعة الواحدة]]*0.2397184</f>
        <v>0.41231564799999998</v>
      </c>
      <c r="K266" s="16">
        <f>الجدول336112[[#This Row],[إفرادي القطعة الواحدة]]+الجدول336112[[#This Row],[أجور الشحن للقطعة الواحدة]]</f>
        <v>2.1323156480000001</v>
      </c>
      <c r="L266" s="16">
        <f>الجدول336112[[#This Row],[العدد]]*الجدول336112[[#This Row],[إجمالي تكلفة القطعة الواحدة]]</f>
        <v>6.3969469439999997</v>
      </c>
      <c r="M266" s="16" t="s">
        <v>5</v>
      </c>
      <c r="N266" s="18">
        <v>31</v>
      </c>
      <c r="O266" s="19"/>
      <c r="P266" s="18"/>
    </row>
    <row r="267" spans="1:16" s="20" customFormat="1" ht="45" customHeight="1" x14ac:dyDescent="0.2">
      <c r="A267" s="24"/>
      <c r="B267" s="15" t="str">
        <f>IF(الجدول336112[[#This Row],[اسم المسلّم]]="","",ROW()-8)</f>
        <v/>
      </c>
      <c r="C267" s="16"/>
      <c r="D267" s="17" t="s">
        <v>318</v>
      </c>
      <c r="E267" s="16" t="s">
        <v>295</v>
      </c>
      <c r="F267" s="16" t="s">
        <v>123</v>
      </c>
      <c r="G267" s="16" t="s">
        <v>341</v>
      </c>
      <c r="H267" s="16">
        <v>4</v>
      </c>
      <c r="I267" s="16">
        <v>2.72</v>
      </c>
      <c r="J267" s="16">
        <f>الجدول336112[[#This Row],[إفرادي القطعة الواحدة]]*0.2397184</f>
        <v>0.65203404800000009</v>
      </c>
      <c r="K267" s="16">
        <f>الجدول336112[[#This Row],[إفرادي القطعة الواحدة]]+الجدول336112[[#This Row],[أجور الشحن للقطعة الواحدة]]</f>
        <v>3.3720340480000002</v>
      </c>
      <c r="L267" s="16">
        <f>الجدول336112[[#This Row],[العدد]]*الجدول336112[[#This Row],[إجمالي تكلفة القطعة الواحدة]]</f>
        <v>13.488136192000001</v>
      </c>
      <c r="M267" s="16" t="s">
        <v>5</v>
      </c>
      <c r="N267" s="18">
        <v>31</v>
      </c>
      <c r="O267" s="19"/>
      <c r="P267" s="18"/>
    </row>
    <row r="268" spans="1:16" s="20" customFormat="1" ht="45" customHeight="1" x14ac:dyDescent="0.2">
      <c r="A268" s="24"/>
      <c r="B268" s="15" t="str">
        <f>IF(الجدول336112[[#This Row],[اسم المسلّم]]="","",ROW()-8)</f>
        <v/>
      </c>
      <c r="C268" s="16"/>
      <c r="D268" s="17" t="s">
        <v>318</v>
      </c>
      <c r="E268" s="16" t="s">
        <v>295</v>
      </c>
      <c r="F268" s="16" t="s">
        <v>124</v>
      </c>
      <c r="G268" s="16" t="s">
        <v>341</v>
      </c>
      <c r="H268" s="16">
        <v>60</v>
      </c>
      <c r="I268" s="16">
        <v>2.38</v>
      </c>
      <c r="J268" s="16">
        <f>الجدول336112[[#This Row],[إفرادي القطعة الواحدة]]*0.2397184</f>
        <v>0.57052979199999998</v>
      </c>
      <c r="K268" s="16">
        <f>الجدول336112[[#This Row],[إفرادي القطعة الواحدة]]+الجدول336112[[#This Row],[أجور الشحن للقطعة الواحدة]]</f>
        <v>2.9505297919999998</v>
      </c>
      <c r="L268" s="16">
        <f>الجدول336112[[#This Row],[العدد]]*الجدول336112[[#This Row],[إجمالي تكلفة القطعة الواحدة]]</f>
        <v>177.03178751999999</v>
      </c>
      <c r="M268" s="16" t="s">
        <v>5</v>
      </c>
      <c r="N268" s="18">
        <v>31</v>
      </c>
      <c r="O268" s="19"/>
      <c r="P268" s="18"/>
    </row>
    <row r="269" spans="1:16" s="20" customFormat="1" ht="45" customHeight="1" x14ac:dyDescent="0.2">
      <c r="A269" s="24"/>
      <c r="B269" s="15" t="str">
        <f>IF(الجدول336112[[#This Row],[اسم المسلّم]]="","",ROW()-8)</f>
        <v/>
      </c>
      <c r="C269" s="16"/>
      <c r="D269" s="17" t="s">
        <v>318</v>
      </c>
      <c r="E269" s="16" t="s">
        <v>295</v>
      </c>
      <c r="F269" s="16" t="s">
        <v>125</v>
      </c>
      <c r="G269" s="16" t="s">
        <v>341</v>
      </c>
      <c r="H269" s="16">
        <v>8</v>
      </c>
      <c r="I269" s="16">
        <v>2.38</v>
      </c>
      <c r="J269" s="16">
        <f>الجدول336112[[#This Row],[إفرادي القطعة الواحدة]]*0.2397184</f>
        <v>0.57052979199999998</v>
      </c>
      <c r="K269" s="16">
        <f>الجدول336112[[#This Row],[إفرادي القطعة الواحدة]]+الجدول336112[[#This Row],[أجور الشحن للقطعة الواحدة]]</f>
        <v>2.9505297919999998</v>
      </c>
      <c r="L269" s="16">
        <f>الجدول336112[[#This Row],[العدد]]*الجدول336112[[#This Row],[إجمالي تكلفة القطعة الواحدة]]</f>
        <v>23.604238335999998</v>
      </c>
      <c r="M269" s="16" t="s">
        <v>5</v>
      </c>
      <c r="N269" s="18">
        <v>31</v>
      </c>
      <c r="O269" s="19"/>
      <c r="P269" s="18"/>
    </row>
    <row r="270" spans="1:16" s="20" customFormat="1" ht="45" customHeight="1" x14ac:dyDescent="0.2">
      <c r="A270" s="24"/>
      <c r="B270" s="15" t="str">
        <f>IF(الجدول336112[[#This Row],[اسم المسلّم]]="","",ROW()-8)</f>
        <v/>
      </c>
      <c r="C270" s="16"/>
      <c r="D270" s="17" t="s">
        <v>318</v>
      </c>
      <c r="E270" s="16" t="s">
        <v>295</v>
      </c>
      <c r="F270" s="16" t="s">
        <v>126</v>
      </c>
      <c r="G270" s="16" t="s">
        <v>341</v>
      </c>
      <c r="H270" s="16">
        <v>20</v>
      </c>
      <c r="I270" s="16">
        <v>2.38</v>
      </c>
      <c r="J270" s="16">
        <f>الجدول336112[[#This Row],[إفرادي القطعة الواحدة]]*0.2397184</f>
        <v>0.57052979199999998</v>
      </c>
      <c r="K270" s="16">
        <f>الجدول336112[[#This Row],[إفرادي القطعة الواحدة]]+الجدول336112[[#This Row],[أجور الشحن للقطعة الواحدة]]</f>
        <v>2.9505297919999998</v>
      </c>
      <c r="L270" s="16">
        <f>الجدول336112[[#This Row],[العدد]]*الجدول336112[[#This Row],[إجمالي تكلفة القطعة الواحدة]]</f>
        <v>59.010595839999993</v>
      </c>
      <c r="M270" s="16" t="s">
        <v>5</v>
      </c>
      <c r="N270" s="18">
        <v>31</v>
      </c>
      <c r="O270" s="19"/>
      <c r="P270" s="18"/>
    </row>
    <row r="271" spans="1:16" s="20" customFormat="1" ht="45" customHeight="1" x14ac:dyDescent="0.2">
      <c r="A271" s="24"/>
      <c r="B271" s="15" t="str">
        <f>IF(الجدول336112[[#This Row],[اسم المسلّم]]="","",ROW()-8)</f>
        <v/>
      </c>
      <c r="C271" s="16"/>
      <c r="D271" s="17" t="s">
        <v>318</v>
      </c>
      <c r="E271" s="16" t="s">
        <v>295</v>
      </c>
      <c r="F271" s="16" t="s">
        <v>127</v>
      </c>
      <c r="G271" s="16" t="s">
        <v>341</v>
      </c>
      <c r="H271" s="16">
        <v>12</v>
      </c>
      <c r="I271" s="16">
        <v>2.38</v>
      </c>
      <c r="J271" s="16">
        <f>الجدول336112[[#This Row],[إفرادي القطعة الواحدة]]*0.2397184</f>
        <v>0.57052979199999998</v>
      </c>
      <c r="K271" s="16">
        <f>الجدول336112[[#This Row],[إفرادي القطعة الواحدة]]+الجدول336112[[#This Row],[أجور الشحن للقطعة الواحدة]]</f>
        <v>2.9505297919999998</v>
      </c>
      <c r="L271" s="16">
        <f>الجدول336112[[#This Row],[العدد]]*الجدول336112[[#This Row],[إجمالي تكلفة القطعة الواحدة]]</f>
        <v>35.406357503999999</v>
      </c>
      <c r="M271" s="16" t="s">
        <v>5</v>
      </c>
      <c r="N271" s="18">
        <v>31</v>
      </c>
      <c r="O271" s="19"/>
      <c r="P271" s="18"/>
    </row>
    <row r="272" spans="1:16" s="20" customFormat="1" ht="45" customHeight="1" x14ac:dyDescent="0.2">
      <c r="A272" s="24"/>
      <c r="B272" s="15" t="str">
        <f>IF(الجدول336112[[#This Row],[اسم المسلّم]]="","",ROW()-8)</f>
        <v/>
      </c>
      <c r="C272" s="16"/>
      <c r="D272" s="17" t="s">
        <v>318</v>
      </c>
      <c r="E272" s="16" t="s">
        <v>295</v>
      </c>
      <c r="F272" s="16" t="s">
        <v>64</v>
      </c>
      <c r="G272" s="16" t="s">
        <v>341</v>
      </c>
      <c r="H272" s="16">
        <v>23</v>
      </c>
      <c r="I272" s="16">
        <v>1.48</v>
      </c>
      <c r="J272" s="16">
        <f>الجدول336112[[#This Row],[إفرادي القطعة الواحدة]]*0.2397184</f>
        <v>0.354783232</v>
      </c>
      <c r="K272" s="16">
        <f>الجدول336112[[#This Row],[إفرادي القطعة الواحدة]]+الجدول336112[[#This Row],[أجور الشحن للقطعة الواحدة]]</f>
        <v>1.8347832319999999</v>
      </c>
      <c r="L272" s="16">
        <f>الجدول336112[[#This Row],[العدد]]*الجدول336112[[#This Row],[إجمالي تكلفة القطعة الواحدة]]</f>
        <v>42.200014335999995</v>
      </c>
      <c r="M272" s="16" t="s">
        <v>5</v>
      </c>
      <c r="N272" s="18">
        <v>31</v>
      </c>
      <c r="O272" s="19"/>
      <c r="P272" s="18"/>
    </row>
    <row r="273" spans="1:16" s="20" customFormat="1" ht="45" customHeight="1" x14ac:dyDescent="0.2">
      <c r="A273" s="24"/>
      <c r="B273" s="15" t="str">
        <f>IF(الجدول336112[[#This Row],[اسم المسلّم]]="","",ROW()-8)</f>
        <v/>
      </c>
      <c r="C273" s="16"/>
      <c r="D273" s="17" t="s">
        <v>318</v>
      </c>
      <c r="E273" s="16" t="s">
        <v>295</v>
      </c>
      <c r="F273" s="16" t="s">
        <v>65</v>
      </c>
      <c r="G273" s="16" t="s">
        <v>341</v>
      </c>
      <c r="H273" s="16">
        <v>20</v>
      </c>
      <c r="I273" s="16">
        <v>1.48</v>
      </c>
      <c r="J273" s="16">
        <f>الجدول336112[[#This Row],[إفرادي القطعة الواحدة]]*0.2397184</f>
        <v>0.354783232</v>
      </c>
      <c r="K273" s="16">
        <f>الجدول336112[[#This Row],[إفرادي القطعة الواحدة]]+الجدول336112[[#This Row],[أجور الشحن للقطعة الواحدة]]</f>
        <v>1.8347832319999999</v>
      </c>
      <c r="L273" s="16">
        <f>الجدول336112[[#This Row],[العدد]]*الجدول336112[[#This Row],[إجمالي تكلفة القطعة الواحدة]]</f>
        <v>36.695664639999997</v>
      </c>
      <c r="M273" s="16" t="s">
        <v>5</v>
      </c>
      <c r="N273" s="18">
        <v>31</v>
      </c>
      <c r="O273" s="19"/>
      <c r="P273" s="18"/>
    </row>
    <row r="274" spans="1:16" s="20" customFormat="1" ht="45" customHeight="1" x14ac:dyDescent="0.2">
      <c r="A274" s="24"/>
      <c r="B274" s="15" t="str">
        <f>IF(الجدول336112[[#This Row],[اسم المسلّم]]="","",ROW()-8)</f>
        <v/>
      </c>
      <c r="C274" s="16"/>
      <c r="D274" s="17" t="s">
        <v>318</v>
      </c>
      <c r="E274" s="16" t="s">
        <v>295</v>
      </c>
      <c r="F274" s="16" t="s">
        <v>66</v>
      </c>
      <c r="G274" s="16" t="s">
        <v>341</v>
      </c>
      <c r="H274" s="16">
        <v>12</v>
      </c>
      <c r="I274" s="16">
        <v>1.48</v>
      </c>
      <c r="J274" s="16">
        <f>الجدول336112[[#This Row],[إفرادي القطعة الواحدة]]*0.2397184</f>
        <v>0.354783232</v>
      </c>
      <c r="K274" s="16">
        <f>الجدول336112[[#This Row],[إفرادي القطعة الواحدة]]+الجدول336112[[#This Row],[أجور الشحن للقطعة الواحدة]]</f>
        <v>1.8347832319999999</v>
      </c>
      <c r="L274" s="16">
        <f>الجدول336112[[#This Row],[العدد]]*الجدول336112[[#This Row],[إجمالي تكلفة القطعة الواحدة]]</f>
        <v>22.017398784000001</v>
      </c>
      <c r="M274" s="16" t="s">
        <v>5</v>
      </c>
      <c r="N274" s="18">
        <v>31</v>
      </c>
      <c r="O274" s="19"/>
      <c r="P274" s="18"/>
    </row>
    <row r="275" spans="1:16" s="20" customFormat="1" ht="45" customHeight="1" x14ac:dyDescent="0.2">
      <c r="A275" s="24"/>
      <c r="B275" s="15" t="str">
        <f>IF(الجدول336112[[#This Row],[اسم المسلّم]]="","",ROW()-8)</f>
        <v/>
      </c>
      <c r="C275" s="16"/>
      <c r="D275" s="17" t="s">
        <v>318</v>
      </c>
      <c r="E275" s="16" t="s">
        <v>295</v>
      </c>
      <c r="F275" s="16" t="s">
        <v>67</v>
      </c>
      <c r="G275" s="16" t="s">
        <v>341</v>
      </c>
      <c r="H275" s="16">
        <v>27</v>
      </c>
      <c r="I275" s="16">
        <v>1.48</v>
      </c>
      <c r="J275" s="16">
        <f>الجدول336112[[#This Row],[إفرادي القطعة الواحدة]]*0.2397184</f>
        <v>0.354783232</v>
      </c>
      <c r="K275" s="16">
        <f>الجدول336112[[#This Row],[إفرادي القطعة الواحدة]]+الجدول336112[[#This Row],[أجور الشحن للقطعة الواحدة]]</f>
        <v>1.8347832319999999</v>
      </c>
      <c r="L275" s="16">
        <f>الجدول336112[[#This Row],[العدد]]*الجدول336112[[#This Row],[إجمالي تكلفة القطعة الواحدة]]</f>
        <v>49.539147264</v>
      </c>
      <c r="M275" s="16" t="s">
        <v>5</v>
      </c>
      <c r="N275" s="18">
        <v>31</v>
      </c>
      <c r="O275" s="19"/>
      <c r="P275" s="18"/>
    </row>
    <row r="276" spans="1:16" s="20" customFormat="1" ht="45" customHeight="1" x14ac:dyDescent="0.2">
      <c r="A276" s="24"/>
      <c r="B276" s="15" t="str">
        <f>IF(الجدول336112[[#This Row],[اسم المسلّم]]="","",ROW()-8)</f>
        <v/>
      </c>
      <c r="C276" s="16"/>
      <c r="D276" s="17" t="s">
        <v>318</v>
      </c>
      <c r="E276" s="16" t="s">
        <v>295</v>
      </c>
      <c r="F276" s="16" t="s">
        <v>68</v>
      </c>
      <c r="G276" s="16" t="s">
        <v>341</v>
      </c>
      <c r="H276" s="16">
        <v>8</v>
      </c>
      <c r="I276" s="16">
        <v>1.48</v>
      </c>
      <c r="J276" s="16">
        <f>الجدول336112[[#This Row],[إفرادي القطعة الواحدة]]*0.2397184</f>
        <v>0.354783232</v>
      </c>
      <c r="K276" s="16">
        <f>الجدول336112[[#This Row],[إفرادي القطعة الواحدة]]+الجدول336112[[#This Row],[أجور الشحن للقطعة الواحدة]]</f>
        <v>1.8347832319999999</v>
      </c>
      <c r="L276" s="16">
        <f>الجدول336112[[#This Row],[العدد]]*الجدول336112[[#This Row],[إجمالي تكلفة القطعة الواحدة]]</f>
        <v>14.678265855999999</v>
      </c>
      <c r="M276" s="16" t="s">
        <v>5</v>
      </c>
      <c r="N276" s="18">
        <v>31</v>
      </c>
      <c r="O276" s="19"/>
      <c r="P276" s="18"/>
    </row>
    <row r="277" spans="1:16" s="20" customFormat="1" ht="45" customHeight="1" x14ac:dyDescent="0.2">
      <c r="A277" s="24"/>
      <c r="B277" s="15" t="str">
        <f>IF(الجدول336112[[#This Row],[اسم المسلّم]]="","",ROW()-8)</f>
        <v/>
      </c>
      <c r="C277" s="16"/>
      <c r="D277" s="17" t="s">
        <v>318</v>
      </c>
      <c r="E277" s="16" t="s">
        <v>295</v>
      </c>
      <c r="F277" s="16" t="s">
        <v>69</v>
      </c>
      <c r="G277" s="16" t="s">
        <v>341</v>
      </c>
      <c r="H277" s="16">
        <v>40</v>
      </c>
      <c r="I277" s="16">
        <v>0.65</v>
      </c>
      <c r="J277" s="16">
        <f>الجدول336112[[#This Row],[إفرادي القطعة الواحدة]]*0.2397184</f>
        <v>0.15581696</v>
      </c>
      <c r="K277" s="16">
        <f>الجدول336112[[#This Row],[إفرادي القطعة الواحدة]]+الجدول336112[[#This Row],[أجور الشحن للقطعة الواحدة]]</f>
        <v>0.80581696000000003</v>
      </c>
      <c r="L277" s="16">
        <f>الجدول336112[[#This Row],[العدد]]*الجدول336112[[#This Row],[إجمالي تكلفة القطعة الواحدة]]</f>
        <v>32.232678399999998</v>
      </c>
      <c r="M277" s="16" t="s">
        <v>5</v>
      </c>
      <c r="N277" s="18">
        <v>31</v>
      </c>
      <c r="O277" s="19"/>
      <c r="P277" s="18"/>
    </row>
    <row r="278" spans="1:16" s="20" customFormat="1" ht="45" customHeight="1" x14ac:dyDescent="0.2">
      <c r="A278" s="24"/>
      <c r="B278" s="15" t="str">
        <f>IF(الجدول336112[[#This Row],[اسم المسلّم]]="","",ROW()-8)</f>
        <v/>
      </c>
      <c r="C278" s="16"/>
      <c r="D278" s="17" t="s">
        <v>318</v>
      </c>
      <c r="E278" s="16" t="s">
        <v>295</v>
      </c>
      <c r="F278" s="16" t="s">
        <v>70</v>
      </c>
      <c r="G278" s="16" t="s">
        <v>341</v>
      </c>
      <c r="H278" s="16">
        <v>30</v>
      </c>
      <c r="I278" s="16">
        <v>1.1499999999999999</v>
      </c>
      <c r="J278" s="16">
        <f>الجدول336112[[#This Row],[إفرادي القطعة الواحدة]]*0.2397184</f>
        <v>0.27567616</v>
      </c>
      <c r="K278" s="16">
        <f>الجدول336112[[#This Row],[إفرادي القطعة الواحدة]]+الجدول336112[[#This Row],[أجور الشحن للقطعة الواحدة]]</f>
        <v>1.4256761599999999</v>
      </c>
      <c r="L278" s="16">
        <f>الجدول336112[[#This Row],[العدد]]*الجدول336112[[#This Row],[إجمالي تكلفة القطعة الواحدة]]</f>
        <v>42.770284799999999</v>
      </c>
      <c r="M278" s="16" t="s">
        <v>5</v>
      </c>
      <c r="N278" s="18">
        <v>31</v>
      </c>
      <c r="O278" s="19"/>
      <c r="P278" s="18"/>
    </row>
    <row r="279" spans="1:16" s="20" customFormat="1" ht="45" customHeight="1" x14ac:dyDescent="0.2">
      <c r="A279" s="24"/>
      <c r="B279" s="15" t="str">
        <f>IF(الجدول336112[[#This Row],[اسم المسلّم]]="","",ROW()-8)</f>
        <v/>
      </c>
      <c r="C279" s="16"/>
      <c r="D279" s="17" t="s">
        <v>318</v>
      </c>
      <c r="E279" s="16" t="s">
        <v>295</v>
      </c>
      <c r="F279" s="16" t="s">
        <v>128</v>
      </c>
      <c r="G279" s="16" t="s">
        <v>341</v>
      </c>
      <c r="H279" s="16">
        <v>4</v>
      </c>
      <c r="I279" s="16">
        <v>1.72</v>
      </c>
      <c r="J279" s="16">
        <f>الجدول336112[[#This Row],[إفرادي القطعة الواحدة]]*0.2397184</f>
        <v>0.41231564799999998</v>
      </c>
      <c r="K279" s="16">
        <f>الجدول336112[[#This Row],[إفرادي القطعة الواحدة]]+الجدول336112[[#This Row],[أجور الشحن للقطعة الواحدة]]</f>
        <v>2.1323156480000001</v>
      </c>
      <c r="L279" s="16">
        <f>الجدول336112[[#This Row],[العدد]]*الجدول336112[[#This Row],[إجمالي تكلفة القطعة الواحدة]]</f>
        <v>8.5292625920000003</v>
      </c>
      <c r="M279" s="16" t="s">
        <v>5</v>
      </c>
      <c r="N279" s="18">
        <v>31</v>
      </c>
      <c r="O279" s="19"/>
      <c r="P279" s="18"/>
    </row>
    <row r="280" spans="1:16" s="20" customFormat="1" ht="45" customHeight="1" x14ac:dyDescent="0.2">
      <c r="A280" s="24"/>
      <c r="B280" s="15" t="str">
        <f>IF(الجدول336112[[#This Row],[اسم المسلّم]]="","",ROW()-8)</f>
        <v/>
      </c>
      <c r="C280" s="16"/>
      <c r="D280" s="17" t="s">
        <v>318</v>
      </c>
      <c r="E280" s="16" t="s">
        <v>295</v>
      </c>
      <c r="F280" s="16" t="s">
        <v>129</v>
      </c>
      <c r="G280" s="16" t="s">
        <v>341</v>
      </c>
      <c r="H280" s="16">
        <v>15</v>
      </c>
      <c r="I280" s="16">
        <v>3.05</v>
      </c>
      <c r="J280" s="16">
        <f>الجدول336112[[#This Row],[إفرادي القطعة الواحدة]]*0.2397184</f>
        <v>0.73114111999999998</v>
      </c>
      <c r="K280" s="16">
        <f>الجدول336112[[#This Row],[إفرادي القطعة الواحدة]]+الجدول336112[[#This Row],[أجور الشحن للقطعة الواحدة]]</f>
        <v>3.78114112</v>
      </c>
      <c r="L280" s="16">
        <f>الجدول336112[[#This Row],[العدد]]*الجدول336112[[#This Row],[إجمالي تكلفة القطعة الواحدة]]</f>
        <v>56.717116799999999</v>
      </c>
      <c r="M280" s="16" t="s">
        <v>5</v>
      </c>
      <c r="N280" s="18">
        <v>31</v>
      </c>
      <c r="O280" s="19"/>
      <c r="P280" s="18"/>
    </row>
    <row r="281" spans="1:16" s="20" customFormat="1" ht="45" customHeight="1" x14ac:dyDescent="0.2">
      <c r="A281" s="24"/>
      <c r="B281" s="15" t="str">
        <f>IF(الجدول336112[[#This Row],[اسم المسلّم]]="","",ROW()-8)</f>
        <v/>
      </c>
      <c r="C281" s="16"/>
      <c r="D281" s="17" t="s">
        <v>318</v>
      </c>
      <c r="E281" s="16" t="s">
        <v>295</v>
      </c>
      <c r="F281" s="16" t="s">
        <v>130</v>
      </c>
      <c r="G281" s="16" t="s">
        <v>341</v>
      </c>
      <c r="H281" s="16">
        <v>20</v>
      </c>
      <c r="I281" s="16">
        <v>3.05</v>
      </c>
      <c r="J281" s="16">
        <f>الجدول336112[[#This Row],[إفرادي القطعة الواحدة]]*0.2397184</f>
        <v>0.73114111999999998</v>
      </c>
      <c r="K281" s="16">
        <f>الجدول336112[[#This Row],[إفرادي القطعة الواحدة]]+الجدول336112[[#This Row],[أجور الشحن للقطعة الواحدة]]</f>
        <v>3.78114112</v>
      </c>
      <c r="L281" s="16">
        <f>الجدول336112[[#This Row],[العدد]]*الجدول336112[[#This Row],[إجمالي تكلفة القطعة الواحدة]]</f>
        <v>75.622822400000004</v>
      </c>
      <c r="M281" s="16" t="s">
        <v>5</v>
      </c>
      <c r="N281" s="18">
        <v>31</v>
      </c>
      <c r="O281" s="19"/>
      <c r="P281" s="18"/>
    </row>
    <row r="282" spans="1:16" s="20" customFormat="1" ht="45" customHeight="1" x14ac:dyDescent="0.2">
      <c r="A282" s="24"/>
      <c r="B282" s="15" t="str">
        <f>IF(الجدول336112[[#This Row],[اسم المسلّم]]="","",ROW()-8)</f>
        <v/>
      </c>
      <c r="C282" s="16"/>
      <c r="D282" s="17" t="s">
        <v>318</v>
      </c>
      <c r="E282" s="16" t="s">
        <v>295</v>
      </c>
      <c r="F282" s="16" t="s">
        <v>131</v>
      </c>
      <c r="G282" s="16" t="s">
        <v>341</v>
      </c>
      <c r="H282" s="16">
        <v>4</v>
      </c>
      <c r="I282" s="16">
        <v>1.72</v>
      </c>
      <c r="J282" s="16">
        <f>الجدول336112[[#This Row],[إفرادي القطعة الواحدة]]*0.2397184</f>
        <v>0.41231564799999998</v>
      </c>
      <c r="K282" s="16">
        <f>الجدول336112[[#This Row],[إفرادي القطعة الواحدة]]+الجدول336112[[#This Row],[أجور الشحن للقطعة الواحدة]]</f>
        <v>2.1323156480000001</v>
      </c>
      <c r="L282" s="16">
        <f>الجدول336112[[#This Row],[العدد]]*الجدول336112[[#This Row],[إجمالي تكلفة القطعة الواحدة]]</f>
        <v>8.5292625920000003</v>
      </c>
      <c r="M282" s="16" t="s">
        <v>5</v>
      </c>
      <c r="N282" s="18">
        <v>31</v>
      </c>
      <c r="O282" s="19"/>
      <c r="P282" s="18"/>
    </row>
    <row r="283" spans="1:16" s="20" customFormat="1" ht="45" customHeight="1" x14ac:dyDescent="0.2">
      <c r="A283" s="24"/>
      <c r="B283" s="15" t="str">
        <f>IF(الجدول336112[[#This Row],[اسم المسلّم]]="","",ROW()-8)</f>
        <v/>
      </c>
      <c r="C283" s="16"/>
      <c r="D283" s="17" t="s">
        <v>318</v>
      </c>
      <c r="E283" s="16" t="s">
        <v>295</v>
      </c>
      <c r="F283" s="16" t="s">
        <v>129</v>
      </c>
      <c r="G283" s="16" t="s">
        <v>341</v>
      </c>
      <c r="H283" s="16">
        <v>9</v>
      </c>
      <c r="I283" s="16">
        <v>3.05</v>
      </c>
      <c r="J283" s="16">
        <f>الجدول336112[[#This Row],[إفرادي القطعة الواحدة]]*0.2397184</f>
        <v>0.73114111999999998</v>
      </c>
      <c r="K283" s="16">
        <f>الجدول336112[[#This Row],[إفرادي القطعة الواحدة]]+الجدول336112[[#This Row],[أجور الشحن للقطعة الواحدة]]</f>
        <v>3.78114112</v>
      </c>
      <c r="L283" s="16">
        <f>الجدول336112[[#This Row],[العدد]]*الجدول336112[[#This Row],[إجمالي تكلفة القطعة الواحدة]]</f>
        <v>34.030270080000001</v>
      </c>
      <c r="M283" s="16" t="s">
        <v>5</v>
      </c>
      <c r="N283" s="18">
        <v>31</v>
      </c>
      <c r="O283" s="19"/>
      <c r="P283" s="18"/>
    </row>
    <row r="284" spans="1:16" s="20" customFormat="1" ht="45" customHeight="1" x14ac:dyDescent="0.2">
      <c r="A284" s="24"/>
      <c r="B284" s="15" t="str">
        <f>IF(الجدول336112[[#This Row],[اسم المسلّم]]="","",ROW()-8)</f>
        <v/>
      </c>
      <c r="C284" s="16"/>
      <c r="D284" s="17" t="s">
        <v>318</v>
      </c>
      <c r="E284" s="16" t="s">
        <v>295</v>
      </c>
      <c r="F284" s="16" t="s">
        <v>132</v>
      </c>
      <c r="G284" s="16" t="s">
        <v>341</v>
      </c>
      <c r="H284" s="16">
        <v>18</v>
      </c>
      <c r="I284" s="16">
        <v>1.72</v>
      </c>
      <c r="J284" s="16">
        <f>الجدول336112[[#This Row],[إفرادي القطعة الواحدة]]*0.2397184</f>
        <v>0.41231564799999998</v>
      </c>
      <c r="K284" s="16">
        <f>الجدول336112[[#This Row],[إفرادي القطعة الواحدة]]+الجدول336112[[#This Row],[أجور الشحن للقطعة الواحدة]]</f>
        <v>2.1323156480000001</v>
      </c>
      <c r="L284" s="16">
        <f>الجدول336112[[#This Row],[العدد]]*الجدول336112[[#This Row],[إجمالي تكلفة القطعة الواحدة]]</f>
        <v>38.381681663999998</v>
      </c>
      <c r="M284" s="16" t="s">
        <v>5</v>
      </c>
      <c r="N284" s="18">
        <v>31</v>
      </c>
      <c r="O284" s="19"/>
      <c r="P284" s="18"/>
    </row>
    <row r="285" spans="1:16" s="20" customFormat="1" ht="45" customHeight="1" x14ac:dyDescent="0.2">
      <c r="A285" s="24"/>
      <c r="B285" s="15" t="str">
        <f>IF(الجدول336112[[#This Row],[اسم المسلّم]]="","",ROW()-8)</f>
        <v/>
      </c>
      <c r="C285" s="16"/>
      <c r="D285" s="17" t="s">
        <v>318</v>
      </c>
      <c r="E285" s="16" t="s">
        <v>295</v>
      </c>
      <c r="F285" s="16" t="s">
        <v>133</v>
      </c>
      <c r="G285" s="16" t="s">
        <v>341</v>
      </c>
      <c r="H285" s="16">
        <v>100</v>
      </c>
      <c r="I285" s="16">
        <v>2.38</v>
      </c>
      <c r="J285" s="16">
        <f>الجدول336112[[#This Row],[إفرادي القطعة الواحدة]]*0.2397184</f>
        <v>0.57052979199999998</v>
      </c>
      <c r="K285" s="16">
        <f>الجدول336112[[#This Row],[إفرادي القطعة الواحدة]]+الجدول336112[[#This Row],[أجور الشحن للقطعة الواحدة]]</f>
        <v>2.9505297919999998</v>
      </c>
      <c r="L285" s="16">
        <f>الجدول336112[[#This Row],[العدد]]*الجدول336112[[#This Row],[إجمالي تكلفة القطعة الواحدة]]</f>
        <v>295.05297919999998</v>
      </c>
      <c r="M285" s="16" t="s">
        <v>5</v>
      </c>
      <c r="N285" s="18">
        <v>31</v>
      </c>
      <c r="O285" s="19"/>
      <c r="P285" s="18"/>
    </row>
    <row r="286" spans="1:16" s="20" customFormat="1" ht="45" customHeight="1" x14ac:dyDescent="0.2">
      <c r="A286" s="24"/>
      <c r="B286" s="15" t="str">
        <f>IF(الجدول336112[[#This Row],[اسم المسلّم]]="","",ROW()-8)</f>
        <v/>
      </c>
      <c r="C286" s="16"/>
      <c r="D286" s="17" t="s">
        <v>318</v>
      </c>
      <c r="E286" s="16" t="s">
        <v>295</v>
      </c>
      <c r="F286" s="16" t="s">
        <v>116</v>
      </c>
      <c r="G286" s="16" t="s">
        <v>341</v>
      </c>
      <c r="H286" s="16">
        <v>10</v>
      </c>
      <c r="I286" s="16">
        <v>0.88</v>
      </c>
      <c r="J286" s="16">
        <f>الجدول336112[[#This Row],[إفرادي القطعة الواحدة]]*0.2397184</f>
        <v>0.21095219200000001</v>
      </c>
      <c r="K286" s="16">
        <f>الجدول336112[[#This Row],[إفرادي القطعة الواحدة]]+الجدول336112[[#This Row],[أجور الشحن للقطعة الواحدة]]</f>
        <v>1.090952192</v>
      </c>
      <c r="L286" s="16">
        <f>الجدول336112[[#This Row],[العدد]]*الجدول336112[[#This Row],[إجمالي تكلفة القطعة الواحدة]]</f>
        <v>10.90952192</v>
      </c>
      <c r="M286" s="16" t="s">
        <v>5</v>
      </c>
      <c r="N286" s="18">
        <v>31</v>
      </c>
      <c r="O286" s="19"/>
      <c r="P286" s="18"/>
    </row>
    <row r="287" spans="1:16" s="20" customFormat="1" ht="45" customHeight="1" x14ac:dyDescent="0.2">
      <c r="A287" s="24"/>
      <c r="B287" s="15" t="str">
        <f>IF(الجدول336112[[#This Row],[اسم المسلّم]]="","",ROW()-8)</f>
        <v/>
      </c>
      <c r="C287" s="16"/>
      <c r="D287" s="17" t="s">
        <v>318</v>
      </c>
      <c r="E287" s="16" t="s">
        <v>295</v>
      </c>
      <c r="F287" s="16" t="s">
        <v>117</v>
      </c>
      <c r="G287" s="16" t="s">
        <v>341</v>
      </c>
      <c r="H287" s="16">
        <v>10</v>
      </c>
      <c r="I287" s="16">
        <v>0.88</v>
      </c>
      <c r="J287" s="16">
        <f>الجدول336112[[#This Row],[إفرادي القطعة الواحدة]]*0.2397184</f>
        <v>0.21095219200000001</v>
      </c>
      <c r="K287" s="16">
        <f>الجدول336112[[#This Row],[إفرادي القطعة الواحدة]]+الجدول336112[[#This Row],[أجور الشحن للقطعة الواحدة]]</f>
        <v>1.090952192</v>
      </c>
      <c r="L287" s="16">
        <f>الجدول336112[[#This Row],[العدد]]*الجدول336112[[#This Row],[إجمالي تكلفة القطعة الواحدة]]</f>
        <v>10.90952192</v>
      </c>
      <c r="M287" s="16" t="s">
        <v>5</v>
      </c>
      <c r="N287" s="18">
        <v>31</v>
      </c>
      <c r="O287" s="19"/>
      <c r="P287" s="18"/>
    </row>
    <row r="288" spans="1:16" s="20" customFormat="1" ht="45" customHeight="1" x14ac:dyDescent="0.2">
      <c r="A288" s="24"/>
      <c r="B288" s="15" t="str">
        <f>IF(الجدول336112[[#This Row],[اسم المسلّم]]="","",ROW()-8)</f>
        <v/>
      </c>
      <c r="C288" s="16"/>
      <c r="D288" s="17" t="s">
        <v>318</v>
      </c>
      <c r="E288" s="16" t="s">
        <v>295</v>
      </c>
      <c r="F288" s="16" t="s">
        <v>118</v>
      </c>
      <c r="G288" s="16" t="s">
        <v>341</v>
      </c>
      <c r="H288" s="16">
        <v>5</v>
      </c>
      <c r="I288" s="16">
        <v>0.88</v>
      </c>
      <c r="J288" s="16">
        <f>الجدول336112[[#This Row],[إفرادي القطعة الواحدة]]*0.2397184</f>
        <v>0.21095219200000001</v>
      </c>
      <c r="K288" s="16">
        <f>الجدول336112[[#This Row],[إفرادي القطعة الواحدة]]+الجدول336112[[#This Row],[أجور الشحن للقطعة الواحدة]]</f>
        <v>1.090952192</v>
      </c>
      <c r="L288" s="16">
        <f>الجدول336112[[#This Row],[العدد]]*الجدول336112[[#This Row],[إجمالي تكلفة القطعة الواحدة]]</f>
        <v>5.4547609599999998</v>
      </c>
      <c r="M288" s="16" t="s">
        <v>5</v>
      </c>
      <c r="N288" s="18">
        <v>31</v>
      </c>
      <c r="O288" s="19"/>
      <c r="P288" s="18"/>
    </row>
    <row r="289" spans="1:16" s="20" customFormat="1" ht="45" customHeight="1" x14ac:dyDescent="0.2">
      <c r="A289" s="24"/>
      <c r="B289" s="15" t="str">
        <f>IF(الجدول336112[[#This Row],[اسم المسلّم]]="","",ROW()-8)</f>
        <v/>
      </c>
      <c r="C289" s="16"/>
      <c r="D289" s="17" t="s">
        <v>318</v>
      </c>
      <c r="E289" s="16" t="s">
        <v>295</v>
      </c>
      <c r="F289" s="16" t="s">
        <v>119</v>
      </c>
      <c r="G289" s="16" t="s">
        <v>341</v>
      </c>
      <c r="H289" s="16">
        <v>20</v>
      </c>
      <c r="I289" s="16">
        <v>0.88</v>
      </c>
      <c r="J289" s="16">
        <f>الجدول336112[[#This Row],[إفرادي القطعة الواحدة]]*0.2397184</f>
        <v>0.21095219200000001</v>
      </c>
      <c r="K289" s="16">
        <f>الجدول336112[[#This Row],[إفرادي القطعة الواحدة]]+الجدول336112[[#This Row],[أجور الشحن للقطعة الواحدة]]</f>
        <v>1.090952192</v>
      </c>
      <c r="L289" s="16">
        <f>الجدول336112[[#This Row],[العدد]]*الجدول336112[[#This Row],[إجمالي تكلفة القطعة الواحدة]]</f>
        <v>21.819043839999999</v>
      </c>
      <c r="M289" s="16" t="s">
        <v>5</v>
      </c>
      <c r="N289" s="18">
        <v>31</v>
      </c>
      <c r="O289" s="19"/>
      <c r="P289" s="18"/>
    </row>
    <row r="290" spans="1:16" s="20" customFormat="1" ht="45" customHeight="1" x14ac:dyDescent="0.2">
      <c r="A290" s="24"/>
      <c r="B290" s="15" t="str">
        <f>IF(الجدول336112[[#This Row],[اسم المسلّم]]="","",ROW()-8)</f>
        <v/>
      </c>
      <c r="C290" s="16"/>
      <c r="D290" s="17" t="s">
        <v>318</v>
      </c>
      <c r="E290" s="16" t="s">
        <v>295</v>
      </c>
      <c r="F290" s="16" t="s">
        <v>53</v>
      </c>
      <c r="G290" s="16" t="s">
        <v>341</v>
      </c>
      <c r="H290" s="16">
        <v>200</v>
      </c>
      <c r="I290" s="16">
        <v>1.1499999999999999</v>
      </c>
      <c r="J290" s="16">
        <f>الجدول336112[[#This Row],[إفرادي القطعة الواحدة]]*0.2397184</f>
        <v>0.27567616</v>
      </c>
      <c r="K290" s="16">
        <f>الجدول336112[[#This Row],[إفرادي القطعة الواحدة]]+الجدول336112[[#This Row],[أجور الشحن للقطعة الواحدة]]</f>
        <v>1.4256761599999999</v>
      </c>
      <c r="L290" s="16">
        <f>الجدول336112[[#This Row],[العدد]]*الجدول336112[[#This Row],[إجمالي تكلفة القطعة الواحدة]]</f>
        <v>285.13523199999997</v>
      </c>
      <c r="M290" s="16" t="s">
        <v>5</v>
      </c>
      <c r="N290" s="18">
        <v>31</v>
      </c>
      <c r="O290" s="19"/>
      <c r="P290" s="18"/>
    </row>
    <row r="291" spans="1:16" s="20" customFormat="1" ht="45" customHeight="1" x14ac:dyDescent="0.2">
      <c r="A291" s="24"/>
      <c r="B291" s="15" t="str">
        <f>IF(الجدول336112[[#This Row],[اسم المسلّم]]="","",ROW()-8)</f>
        <v/>
      </c>
      <c r="C291" s="16"/>
      <c r="D291" s="17" t="s">
        <v>318</v>
      </c>
      <c r="E291" s="16" t="s">
        <v>295</v>
      </c>
      <c r="F291" s="16" t="s">
        <v>110</v>
      </c>
      <c r="G291" s="16" t="s">
        <v>341</v>
      </c>
      <c r="H291" s="16">
        <v>50</v>
      </c>
      <c r="I291" s="16">
        <v>1.65</v>
      </c>
      <c r="J291" s="16">
        <f>الجدول336112[[#This Row],[إفرادي القطعة الواحدة]]*0.2397184</f>
        <v>0.39553536</v>
      </c>
      <c r="K291" s="16">
        <f>الجدول336112[[#This Row],[إفرادي القطعة الواحدة]]+الجدول336112[[#This Row],[أجور الشحن للقطعة الواحدة]]</f>
        <v>2.0455353599999997</v>
      </c>
      <c r="L291" s="16">
        <f>الجدول336112[[#This Row],[العدد]]*الجدول336112[[#This Row],[إجمالي تكلفة القطعة الواحدة]]</f>
        <v>102.27676799999999</v>
      </c>
      <c r="M291" s="16" t="s">
        <v>5</v>
      </c>
      <c r="N291" s="18">
        <v>31</v>
      </c>
      <c r="O291" s="19"/>
      <c r="P291" s="18"/>
    </row>
    <row r="292" spans="1:16" s="20" customFormat="1" ht="45" customHeight="1" x14ac:dyDescent="0.2">
      <c r="A292" s="24"/>
      <c r="B292" s="15" t="str">
        <f>IF(الجدول336112[[#This Row],[اسم المسلّم]]="","",ROW()-8)</f>
        <v/>
      </c>
      <c r="C292" s="16"/>
      <c r="D292" s="17" t="s">
        <v>318</v>
      </c>
      <c r="E292" s="16" t="s">
        <v>295</v>
      </c>
      <c r="F292" s="16" t="s">
        <v>111</v>
      </c>
      <c r="G292" s="16" t="s">
        <v>341</v>
      </c>
      <c r="H292" s="16">
        <v>3</v>
      </c>
      <c r="I292" s="16">
        <v>3.48</v>
      </c>
      <c r="J292" s="16">
        <f>الجدول336112[[#This Row],[إفرادي القطعة الواحدة]]*0.2397184</f>
        <v>0.83422003199999994</v>
      </c>
      <c r="K292" s="16">
        <f>الجدول336112[[#This Row],[إفرادي القطعة الواحدة]]+الجدول336112[[#This Row],[أجور الشحن للقطعة الواحدة]]</f>
        <v>4.3142200319999997</v>
      </c>
      <c r="L292" s="16">
        <f>الجدول336112[[#This Row],[العدد]]*الجدول336112[[#This Row],[إجمالي تكلفة القطعة الواحدة]]</f>
        <v>12.942660095999999</v>
      </c>
      <c r="M292" s="16" t="s">
        <v>5</v>
      </c>
      <c r="N292" s="18">
        <v>31</v>
      </c>
      <c r="O292" s="19"/>
      <c r="P292" s="18"/>
    </row>
    <row r="293" spans="1:16" s="20" customFormat="1" ht="45" customHeight="1" x14ac:dyDescent="0.2">
      <c r="A293" s="24"/>
      <c r="B293" s="15" t="str">
        <f>IF(الجدول336112[[#This Row],[اسم المسلّم]]="","",ROW()-8)</f>
        <v/>
      </c>
      <c r="C293" s="16"/>
      <c r="D293" s="17" t="s">
        <v>318</v>
      </c>
      <c r="E293" s="16" t="s">
        <v>295</v>
      </c>
      <c r="F293" s="16" t="s">
        <v>112</v>
      </c>
      <c r="G293" s="16" t="s">
        <v>341</v>
      </c>
      <c r="H293" s="16">
        <v>24</v>
      </c>
      <c r="I293" s="16">
        <v>0.57999999999999996</v>
      </c>
      <c r="J293" s="16">
        <f>الجدول336112[[#This Row],[إفرادي القطعة الواحدة]]*0.2397184</f>
        <v>0.139036672</v>
      </c>
      <c r="K293" s="16">
        <f>الجدول336112[[#This Row],[إفرادي القطعة الواحدة]]+الجدول336112[[#This Row],[أجور الشحن للقطعة الواحدة]]</f>
        <v>0.71903667199999999</v>
      </c>
      <c r="L293" s="16">
        <f>الجدول336112[[#This Row],[العدد]]*الجدول336112[[#This Row],[إجمالي تكلفة القطعة الواحدة]]</f>
        <v>17.256880127999999</v>
      </c>
      <c r="M293" s="16" t="s">
        <v>5</v>
      </c>
      <c r="N293" s="18">
        <v>31</v>
      </c>
      <c r="O293" s="19"/>
      <c r="P293" s="18"/>
    </row>
    <row r="294" spans="1:16" s="20" customFormat="1" ht="45" customHeight="1" x14ac:dyDescent="0.2">
      <c r="A294" s="24"/>
      <c r="B294" s="15" t="str">
        <f>IF(الجدول336112[[#This Row],[اسم المسلّم]]="","",ROW()-8)</f>
        <v/>
      </c>
      <c r="C294" s="16"/>
      <c r="D294" s="17" t="s">
        <v>318</v>
      </c>
      <c r="E294" s="16" t="s">
        <v>295</v>
      </c>
      <c r="F294" s="16" t="s">
        <v>113</v>
      </c>
      <c r="G294" s="16" t="s">
        <v>341</v>
      </c>
      <c r="H294" s="16">
        <v>85</v>
      </c>
      <c r="I294" s="16">
        <v>0.72</v>
      </c>
      <c r="J294" s="16">
        <f>الجدول336112[[#This Row],[إفرادي القطعة الواحدة]]*0.2397184</f>
        <v>0.17259724799999998</v>
      </c>
      <c r="K294" s="16">
        <f>الجدول336112[[#This Row],[إفرادي القطعة الواحدة]]+الجدول336112[[#This Row],[أجور الشحن للقطعة الواحدة]]</f>
        <v>0.89259724799999995</v>
      </c>
      <c r="L294" s="16">
        <f>الجدول336112[[#This Row],[العدد]]*الجدول336112[[#This Row],[إجمالي تكلفة القطعة الواحدة]]</f>
        <v>75.870766079999996</v>
      </c>
      <c r="M294" s="16" t="s">
        <v>5</v>
      </c>
      <c r="N294" s="18">
        <v>31</v>
      </c>
      <c r="O294" s="19"/>
      <c r="P294" s="18"/>
    </row>
    <row r="295" spans="1:16" s="20" customFormat="1" ht="45" customHeight="1" x14ac:dyDescent="0.2">
      <c r="A295" s="24"/>
      <c r="B295" s="15" t="str">
        <f>IF(الجدول336112[[#This Row],[اسم المسلّم]]="","",ROW()-8)</f>
        <v/>
      </c>
      <c r="C295" s="16"/>
      <c r="D295" s="17" t="s">
        <v>318</v>
      </c>
      <c r="E295" s="16" t="s">
        <v>295</v>
      </c>
      <c r="F295" s="16" t="s">
        <v>114</v>
      </c>
      <c r="G295" s="16" t="s">
        <v>341</v>
      </c>
      <c r="H295" s="16">
        <v>12</v>
      </c>
      <c r="I295" s="16">
        <v>0.72</v>
      </c>
      <c r="J295" s="16">
        <f>الجدول336112[[#This Row],[إفرادي القطعة الواحدة]]*0.2397184</f>
        <v>0.17259724799999998</v>
      </c>
      <c r="K295" s="16">
        <f>الجدول336112[[#This Row],[إفرادي القطعة الواحدة]]+الجدول336112[[#This Row],[أجور الشحن للقطعة الواحدة]]</f>
        <v>0.89259724799999995</v>
      </c>
      <c r="L295" s="16">
        <f>الجدول336112[[#This Row],[العدد]]*الجدول336112[[#This Row],[إجمالي تكلفة القطعة الواحدة]]</f>
        <v>10.711166975999999</v>
      </c>
      <c r="M295" s="16" t="s">
        <v>5</v>
      </c>
      <c r="N295" s="18">
        <v>31</v>
      </c>
      <c r="O295" s="19"/>
      <c r="P295" s="18"/>
    </row>
    <row r="296" spans="1:16" s="20" customFormat="1" ht="45" customHeight="1" x14ac:dyDescent="0.2">
      <c r="A296" s="24"/>
      <c r="B296" s="15" t="str">
        <f>IF(الجدول336112[[#This Row],[اسم المسلّم]]="","",ROW()-8)</f>
        <v/>
      </c>
      <c r="C296" s="16"/>
      <c r="D296" s="17" t="s">
        <v>318</v>
      </c>
      <c r="E296" s="16" t="s">
        <v>295</v>
      </c>
      <c r="F296" s="16" t="s">
        <v>115</v>
      </c>
      <c r="G296" s="16" t="s">
        <v>341</v>
      </c>
      <c r="H296" s="16">
        <v>75</v>
      </c>
      <c r="I296" s="16">
        <v>0.72</v>
      </c>
      <c r="J296" s="16">
        <f>الجدول336112[[#This Row],[إفرادي القطعة الواحدة]]*0.2397184</f>
        <v>0.17259724799999998</v>
      </c>
      <c r="K296" s="16">
        <f>الجدول336112[[#This Row],[إفرادي القطعة الواحدة]]+الجدول336112[[#This Row],[أجور الشحن للقطعة الواحدة]]</f>
        <v>0.89259724799999995</v>
      </c>
      <c r="L296" s="16">
        <f>الجدول336112[[#This Row],[العدد]]*الجدول336112[[#This Row],[إجمالي تكلفة القطعة الواحدة]]</f>
        <v>66.944793599999997</v>
      </c>
      <c r="M296" s="16" t="s">
        <v>5</v>
      </c>
      <c r="N296" s="18">
        <v>31</v>
      </c>
      <c r="O296" s="19"/>
      <c r="P296" s="18"/>
    </row>
    <row r="297" spans="1:16" s="20" customFormat="1" ht="45" customHeight="1" x14ac:dyDescent="0.2">
      <c r="A297" s="24"/>
      <c r="B297" s="15" t="str">
        <f>IF(الجدول336112[[#This Row],[اسم المسلّم]]="","",ROW()-8)</f>
        <v/>
      </c>
      <c r="C297" s="16"/>
      <c r="D297" s="17" t="s">
        <v>318</v>
      </c>
      <c r="E297" s="16" t="s">
        <v>295</v>
      </c>
      <c r="F297" s="16" t="s">
        <v>107</v>
      </c>
      <c r="G297" s="16" t="s">
        <v>341</v>
      </c>
      <c r="H297" s="16">
        <v>6</v>
      </c>
      <c r="I297" s="16">
        <v>2.15</v>
      </c>
      <c r="J297" s="16">
        <f>الجدول336112[[#This Row],[إفرادي القطعة الواحدة]]*0.2397184</f>
        <v>0.51539455999999995</v>
      </c>
      <c r="K297" s="16">
        <f>الجدول336112[[#This Row],[إفرادي القطعة الواحدة]]+الجدول336112[[#This Row],[أجور الشحن للقطعة الواحدة]]</f>
        <v>2.6653945599999997</v>
      </c>
      <c r="L297" s="16">
        <f>الجدول336112[[#This Row],[العدد]]*الجدول336112[[#This Row],[إجمالي تكلفة القطعة الواحدة]]</f>
        <v>15.992367359999999</v>
      </c>
      <c r="M297" s="16" t="s">
        <v>5</v>
      </c>
      <c r="N297" s="18">
        <v>31</v>
      </c>
      <c r="O297" s="19"/>
      <c r="P297" s="18"/>
    </row>
    <row r="298" spans="1:16" s="20" customFormat="1" ht="45" customHeight="1" x14ac:dyDescent="0.2">
      <c r="A298" s="24"/>
      <c r="B298" s="15" t="str">
        <f>IF(الجدول336112[[#This Row],[اسم المسلّم]]="","",ROW()-8)</f>
        <v/>
      </c>
      <c r="C298" s="16"/>
      <c r="D298" s="17" t="s">
        <v>318</v>
      </c>
      <c r="E298" s="16" t="s">
        <v>295</v>
      </c>
      <c r="F298" s="16" t="s">
        <v>100</v>
      </c>
      <c r="G298" s="16" t="s">
        <v>341</v>
      </c>
      <c r="H298" s="16">
        <v>8</v>
      </c>
      <c r="I298" s="16">
        <v>1.82</v>
      </c>
      <c r="J298" s="16">
        <f>الجدول336112[[#This Row],[إفرادي القطعة الواحدة]]*0.2397184</f>
        <v>0.436287488</v>
      </c>
      <c r="K298" s="16">
        <f>الجدول336112[[#This Row],[إفرادي القطعة الواحدة]]+الجدول336112[[#This Row],[أجور الشحن للقطعة الواحدة]]</f>
        <v>2.2562874879999999</v>
      </c>
      <c r="L298" s="16">
        <f>الجدول336112[[#This Row],[العدد]]*الجدول336112[[#This Row],[إجمالي تكلفة القطعة الواحدة]]</f>
        <v>18.050299903999999</v>
      </c>
      <c r="M298" s="16" t="s">
        <v>5</v>
      </c>
      <c r="N298" s="18">
        <v>31</v>
      </c>
      <c r="O298" s="19"/>
      <c r="P298" s="18"/>
    </row>
    <row r="299" spans="1:16" s="20" customFormat="1" ht="45" customHeight="1" x14ac:dyDescent="0.2">
      <c r="A299" s="24"/>
      <c r="B299" s="15" t="str">
        <f>IF(الجدول336112[[#This Row],[اسم المسلّم]]="","",ROW()-8)</f>
        <v/>
      </c>
      <c r="C299" s="16"/>
      <c r="D299" s="17" t="s">
        <v>318</v>
      </c>
      <c r="E299" s="16" t="s">
        <v>295</v>
      </c>
      <c r="F299" s="16" t="s">
        <v>108</v>
      </c>
      <c r="G299" s="16" t="s">
        <v>341</v>
      </c>
      <c r="H299" s="16">
        <v>53</v>
      </c>
      <c r="I299" s="16">
        <v>1.48</v>
      </c>
      <c r="J299" s="16">
        <f>الجدول336112[[#This Row],[إفرادي القطعة الواحدة]]*0.2397184</f>
        <v>0.354783232</v>
      </c>
      <c r="K299" s="16">
        <f>الجدول336112[[#This Row],[إفرادي القطعة الواحدة]]+الجدول336112[[#This Row],[أجور الشحن للقطعة الواحدة]]</f>
        <v>1.8347832319999999</v>
      </c>
      <c r="L299" s="16">
        <f>الجدول336112[[#This Row],[العدد]]*الجدول336112[[#This Row],[إجمالي تكلفة القطعة الواحدة]]</f>
        <v>97.243511295999994</v>
      </c>
      <c r="M299" s="16" t="s">
        <v>5</v>
      </c>
      <c r="N299" s="18">
        <v>31</v>
      </c>
      <c r="O299" s="19"/>
      <c r="P299" s="18"/>
    </row>
    <row r="300" spans="1:16" s="20" customFormat="1" ht="45" customHeight="1" x14ac:dyDescent="0.2">
      <c r="A300" s="24"/>
      <c r="B300" s="15" t="str">
        <f>IF(الجدول336112[[#This Row],[اسم المسلّم]]="","",ROW()-8)</f>
        <v/>
      </c>
      <c r="C300" s="16"/>
      <c r="D300" s="17" t="s">
        <v>318</v>
      </c>
      <c r="E300" s="16" t="s">
        <v>295</v>
      </c>
      <c r="F300" s="16" t="s">
        <v>109</v>
      </c>
      <c r="G300" s="16" t="s">
        <v>341</v>
      </c>
      <c r="H300" s="16">
        <v>76</v>
      </c>
      <c r="I300" s="16">
        <v>1.1499999999999999</v>
      </c>
      <c r="J300" s="16">
        <f>الجدول336112[[#This Row],[إفرادي القطعة الواحدة]]*0.2397184</f>
        <v>0.27567616</v>
      </c>
      <c r="K300" s="16">
        <f>الجدول336112[[#This Row],[إفرادي القطعة الواحدة]]+الجدول336112[[#This Row],[أجور الشحن للقطعة الواحدة]]</f>
        <v>1.4256761599999999</v>
      </c>
      <c r="L300" s="16">
        <f>الجدول336112[[#This Row],[العدد]]*الجدول336112[[#This Row],[إجمالي تكلفة القطعة الواحدة]]</f>
        <v>108.35138815999998</v>
      </c>
      <c r="M300" s="16" t="s">
        <v>5</v>
      </c>
      <c r="N300" s="18">
        <v>31</v>
      </c>
      <c r="O300" s="19"/>
      <c r="P300" s="18"/>
    </row>
    <row r="301" spans="1:16" s="20" customFormat="1" ht="45" customHeight="1" x14ac:dyDescent="0.2">
      <c r="A301" s="24"/>
      <c r="B301" s="15" t="str">
        <f>IF(الجدول336112[[#This Row],[اسم المسلّم]]="","",ROW()-8)</f>
        <v/>
      </c>
      <c r="C301" s="16"/>
      <c r="D301" s="17" t="s">
        <v>318</v>
      </c>
      <c r="E301" s="16" t="s">
        <v>295</v>
      </c>
      <c r="F301" s="16" t="s">
        <v>137</v>
      </c>
      <c r="G301" s="16" t="s">
        <v>341</v>
      </c>
      <c r="H301" s="16">
        <v>14</v>
      </c>
      <c r="I301" s="16">
        <v>1.72</v>
      </c>
      <c r="J301" s="16">
        <f>الجدول336112[[#This Row],[إفرادي القطعة الواحدة]]*0.2397184</f>
        <v>0.41231564799999998</v>
      </c>
      <c r="K301" s="16">
        <f>الجدول336112[[#This Row],[إفرادي القطعة الواحدة]]+الجدول336112[[#This Row],[أجور الشحن للقطعة الواحدة]]</f>
        <v>2.1323156480000001</v>
      </c>
      <c r="L301" s="16">
        <f>الجدول336112[[#This Row],[العدد]]*الجدول336112[[#This Row],[إجمالي تكلفة القطعة الواحدة]]</f>
        <v>29.852419072</v>
      </c>
      <c r="M301" s="16" t="s">
        <v>5</v>
      </c>
      <c r="N301" s="18">
        <v>31</v>
      </c>
      <c r="O301" s="19"/>
      <c r="P301" s="18"/>
    </row>
    <row r="302" spans="1:16" s="20" customFormat="1" ht="45" customHeight="1" x14ac:dyDescent="0.2">
      <c r="A302" s="24"/>
      <c r="B302" s="15" t="str">
        <f>IF(الجدول336112[[#This Row],[اسم المسلّم]]="","",ROW()-8)</f>
        <v/>
      </c>
      <c r="C302" s="16"/>
      <c r="D302" s="17" t="s">
        <v>318</v>
      </c>
      <c r="E302" s="16" t="s">
        <v>295</v>
      </c>
      <c r="F302" s="16" t="s">
        <v>134</v>
      </c>
      <c r="G302" s="16" t="s">
        <v>341</v>
      </c>
      <c r="H302" s="16">
        <v>31</v>
      </c>
      <c r="I302" s="16">
        <v>1.38</v>
      </c>
      <c r="J302" s="16">
        <f>الجدول336112[[#This Row],[إفرادي القطعة الواحدة]]*0.2397184</f>
        <v>0.33081139199999998</v>
      </c>
      <c r="K302" s="16">
        <f>الجدول336112[[#This Row],[إفرادي القطعة الواحدة]]+الجدول336112[[#This Row],[أجور الشحن للقطعة الواحدة]]</f>
        <v>1.7108113919999999</v>
      </c>
      <c r="L302" s="16">
        <f>الجدول336112[[#This Row],[العدد]]*الجدول336112[[#This Row],[إجمالي تكلفة القطعة الواحدة]]</f>
        <v>53.035153151999999</v>
      </c>
      <c r="M302" s="16" t="s">
        <v>5</v>
      </c>
      <c r="N302" s="18">
        <v>31</v>
      </c>
      <c r="O302" s="19"/>
      <c r="P302" s="18"/>
    </row>
    <row r="303" spans="1:16" s="20" customFormat="1" ht="45" customHeight="1" x14ac:dyDescent="0.2">
      <c r="A303" s="24"/>
      <c r="B303" s="15" t="str">
        <f>IF(الجدول336112[[#This Row],[اسم المسلّم]]="","",ROW()-8)</f>
        <v/>
      </c>
      <c r="C303" s="16"/>
      <c r="D303" s="17" t="s">
        <v>318</v>
      </c>
      <c r="E303" s="16" t="s">
        <v>295</v>
      </c>
      <c r="F303" s="16" t="s">
        <v>135</v>
      </c>
      <c r="G303" s="16" t="s">
        <v>341</v>
      </c>
      <c r="H303" s="16">
        <v>4</v>
      </c>
      <c r="I303" s="16">
        <v>1.72</v>
      </c>
      <c r="J303" s="16">
        <f>الجدول336112[[#This Row],[إفرادي القطعة الواحدة]]*0.2397184</f>
        <v>0.41231564799999998</v>
      </c>
      <c r="K303" s="16">
        <f>الجدول336112[[#This Row],[إفرادي القطعة الواحدة]]+الجدول336112[[#This Row],[أجور الشحن للقطعة الواحدة]]</f>
        <v>2.1323156480000001</v>
      </c>
      <c r="L303" s="16">
        <f>الجدول336112[[#This Row],[العدد]]*الجدول336112[[#This Row],[إجمالي تكلفة القطعة الواحدة]]</f>
        <v>8.5292625920000003</v>
      </c>
      <c r="M303" s="16" t="s">
        <v>5</v>
      </c>
      <c r="N303" s="18">
        <v>31</v>
      </c>
      <c r="O303" s="19"/>
      <c r="P303" s="18"/>
    </row>
    <row r="304" spans="1:16" s="20" customFormat="1" ht="45" customHeight="1" x14ac:dyDescent="0.2">
      <c r="A304" s="24"/>
      <c r="B304" s="15" t="str">
        <f>IF(الجدول336112[[#This Row],[اسم المسلّم]]="","",ROW()-8)</f>
        <v/>
      </c>
      <c r="C304" s="16"/>
      <c r="D304" s="17" t="s">
        <v>318</v>
      </c>
      <c r="E304" s="16" t="s">
        <v>295</v>
      </c>
      <c r="F304" s="16" t="s">
        <v>136</v>
      </c>
      <c r="G304" s="16" t="s">
        <v>341</v>
      </c>
      <c r="H304" s="16">
        <v>8</v>
      </c>
      <c r="I304" s="16">
        <v>1.25</v>
      </c>
      <c r="J304" s="16">
        <f>الجدول336112[[#This Row],[إفرادي القطعة الواحدة]]*0.2397184</f>
        <v>0.29964800000000003</v>
      </c>
      <c r="K304" s="16">
        <f>الجدول336112[[#This Row],[إفرادي القطعة الواحدة]]+الجدول336112[[#This Row],[أجور الشحن للقطعة الواحدة]]</f>
        <v>1.5496479999999999</v>
      </c>
      <c r="L304" s="16">
        <f>الجدول336112[[#This Row],[العدد]]*الجدول336112[[#This Row],[إجمالي تكلفة القطعة الواحدة]]</f>
        <v>12.397183999999999</v>
      </c>
      <c r="M304" s="16" t="s">
        <v>5</v>
      </c>
      <c r="N304" s="18">
        <v>31</v>
      </c>
      <c r="O304" s="19"/>
      <c r="P304" s="18"/>
    </row>
    <row r="305" spans="1:16" s="20" customFormat="1" ht="45" customHeight="1" x14ac:dyDescent="0.2">
      <c r="A305" s="24"/>
      <c r="B305" s="15" t="str">
        <f>IF(الجدول336112[[#This Row],[اسم المسلّم]]="","",ROW()-8)</f>
        <v/>
      </c>
      <c r="C305" s="16"/>
      <c r="D305" s="17" t="s">
        <v>318</v>
      </c>
      <c r="E305" s="16" t="s">
        <v>295</v>
      </c>
      <c r="F305" s="16" t="s">
        <v>138</v>
      </c>
      <c r="G305" s="16" t="s">
        <v>341</v>
      </c>
      <c r="H305" s="16">
        <v>30</v>
      </c>
      <c r="I305" s="16">
        <v>1.38</v>
      </c>
      <c r="J305" s="16">
        <f>الجدول336112[[#This Row],[إفرادي القطعة الواحدة]]*0.2397184</f>
        <v>0.33081139199999998</v>
      </c>
      <c r="K305" s="16">
        <f>الجدول336112[[#This Row],[إفرادي القطعة الواحدة]]+الجدول336112[[#This Row],[أجور الشحن للقطعة الواحدة]]</f>
        <v>1.7108113919999999</v>
      </c>
      <c r="L305" s="16">
        <f>الجدول336112[[#This Row],[العدد]]*الجدول336112[[#This Row],[إجمالي تكلفة القطعة الواحدة]]</f>
        <v>51.324341759999996</v>
      </c>
      <c r="M305" s="16" t="s">
        <v>5</v>
      </c>
      <c r="N305" s="18">
        <v>31</v>
      </c>
      <c r="O305" s="19"/>
      <c r="P305" s="18"/>
    </row>
    <row r="306" spans="1:16" s="20" customFormat="1" ht="45" customHeight="1" x14ac:dyDescent="0.2">
      <c r="A306" s="24"/>
      <c r="B306" s="15" t="str">
        <f>IF(الجدول336112[[#This Row],[اسم المسلّم]]="","",ROW()-8)</f>
        <v/>
      </c>
      <c r="C306" s="16"/>
      <c r="D306" s="17" t="s">
        <v>318</v>
      </c>
      <c r="E306" s="16" t="s">
        <v>295</v>
      </c>
      <c r="F306" s="16" t="s">
        <v>139</v>
      </c>
      <c r="G306" s="16" t="s">
        <v>341</v>
      </c>
      <c r="H306" s="16">
        <v>4</v>
      </c>
      <c r="I306" s="16">
        <v>1.72</v>
      </c>
      <c r="J306" s="16">
        <f>الجدول336112[[#This Row],[إفرادي القطعة الواحدة]]*0.2397184</f>
        <v>0.41231564799999998</v>
      </c>
      <c r="K306" s="16">
        <f>الجدول336112[[#This Row],[إفرادي القطعة الواحدة]]+الجدول336112[[#This Row],[أجور الشحن للقطعة الواحدة]]</f>
        <v>2.1323156480000001</v>
      </c>
      <c r="L306" s="16">
        <f>الجدول336112[[#This Row],[العدد]]*الجدول336112[[#This Row],[إجمالي تكلفة القطعة الواحدة]]</f>
        <v>8.5292625920000003</v>
      </c>
      <c r="M306" s="16" t="s">
        <v>5</v>
      </c>
      <c r="N306" s="18">
        <v>31</v>
      </c>
      <c r="O306" s="19"/>
      <c r="P306" s="18"/>
    </row>
    <row r="307" spans="1:16" s="20" customFormat="1" ht="45" customHeight="1" x14ac:dyDescent="0.2">
      <c r="A307" s="24"/>
      <c r="B307" s="15" t="str">
        <f>IF(الجدول336112[[#This Row],[اسم المسلّم]]="","",ROW()-8)</f>
        <v/>
      </c>
      <c r="C307" s="16"/>
      <c r="D307" s="17" t="s">
        <v>318</v>
      </c>
      <c r="E307" s="16" t="s">
        <v>295</v>
      </c>
      <c r="F307" s="16" t="s">
        <v>140</v>
      </c>
      <c r="G307" s="16" t="s">
        <v>341</v>
      </c>
      <c r="H307" s="16">
        <v>17</v>
      </c>
      <c r="I307" s="16">
        <v>1.72</v>
      </c>
      <c r="J307" s="16">
        <f>الجدول336112[[#This Row],[إفرادي القطعة الواحدة]]*0.2397184</f>
        <v>0.41231564799999998</v>
      </c>
      <c r="K307" s="16">
        <f>الجدول336112[[#This Row],[إفرادي القطعة الواحدة]]+الجدول336112[[#This Row],[أجور الشحن للقطعة الواحدة]]</f>
        <v>2.1323156480000001</v>
      </c>
      <c r="L307" s="16">
        <f>الجدول336112[[#This Row],[العدد]]*الجدول336112[[#This Row],[إجمالي تكلفة القطعة الواحدة]]</f>
        <v>36.249366016000003</v>
      </c>
      <c r="M307" s="16" t="s">
        <v>5</v>
      </c>
      <c r="N307" s="18">
        <v>31</v>
      </c>
      <c r="O307" s="19"/>
      <c r="P307" s="18"/>
    </row>
    <row r="308" spans="1:16" s="20" customFormat="1" ht="45" customHeight="1" x14ac:dyDescent="0.2">
      <c r="A308" s="24"/>
      <c r="B308" s="15" t="str">
        <f>IF(الجدول336112[[#This Row],[اسم المسلّم]]="","",ROW()-8)</f>
        <v/>
      </c>
      <c r="C308" s="16"/>
      <c r="D308" s="17" t="s">
        <v>318</v>
      </c>
      <c r="E308" s="16" t="s">
        <v>295</v>
      </c>
      <c r="F308" s="16" t="s">
        <v>59</v>
      </c>
      <c r="G308" s="16" t="s">
        <v>341</v>
      </c>
      <c r="H308" s="16">
        <v>96</v>
      </c>
      <c r="I308" s="16">
        <v>1.05</v>
      </c>
      <c r="J308" s="16">
        <f>الجدول336112[[#This Row],[إفرادي القطعة الواحدة]]*0.2397184</f>
        <v>0.25170431999999998</v>
      </c>
      <c r="K308" s="16">
        <f>الجدول336112[[#This Row],[إفرادي القطعة الواحدة]]+الجدول336112[[#This Row],[أجور الشحن للقطعة الواحدة]]</f>
        <v>1.30170432</v>
      </c>
      <c r="L308" s="16">
        <f>الجدول336112[[#This Row],[العدد]]*الجدول336112[[#This Row],[إجمالي تكلفة القطعة الواحدة]]</f>
        <v>124.96361472000001</v>
      </c>
      <c r="M308" s="16" t="s">
        <v>5</v>
      </c>
      <c r="N308" s="18">
        <v>31</v>
      </c>
      <c r="O308" s="19"/>
      <c r="P308" s="18"/>
    </row>
    <row r="309" spans="1:16" s="20" customFormat="1" ht="45" customHeight="1" x14ac:dyDescent="0.2">
      <c r="A309" s="24"/>
      <c r="B309" s="15" t="str">
        <f>IF(الجدول336112[[#This Row],[اسم المسلّم]]="","",ROW()-8)</f>
        <v/>
      </c>
      <c r="C309" s="16"/>
      <c r="D309" s="17" t="s">
        <v>522</v>
      </c>
      <c r="E309" s="16" t="s">
        <v>311</v>
      </c>
      <c r="F309" s="16" t="s">
        <v>254</v>
      </c>
      <c r="G309" s="16" t="s">
        <v>341</v>
      </c>
      <c r="H309" s="16">
        <v>84</v>
      </c>
      <c r="I309" s="16">
        <v>0</v>
      </c>
      <c r="J309" s="16">
        <f>الجدول336112[[#This Row],[إفرادي القطعة الواحدة]]*0.2397184</f>
        <v>0</v>
      </c>
      <c r="K309" s="16">
        <f>الجدول336112[[#This Row],[إفرادي القطعة الواحدة]]+الجدول336112[[#This Row],[أجور الشحن للقطعة الواحدة]]</f>
        <v>0</v>
      </c>
      <c r="L309" s="16">
        <f>الجدول336112[[#This Row],[العدد]]*الجدول336112[[#This Row],[إجمالي تكلفة القطعة الواحدة]]</f>
        <v>0</v>
      </c>
      <c r="M309" s="16" t="s">
        <v>5</v>
      </c>
      <c r="N309" s="18">
        <v>32</v>
      </c>
      <c r="O309" s="19"/>
      <c r="P309" s="18"/>
    </row>
    <row r="310" spans="1:16" s="20" customFormat="1" ht="45" customHeight="1" x14ac:dyDescent="0.2">
      <c r="A310" s="24"/>
      <c r="B310" s="15" t="str">
        <f>IF(الجدول336112[[#This Row],[اسم المسلّم]]="","",ROW()-8)</f>
        <v/>
      </c>
      <c r="C310" s="16"/>
      <c r="D310" s="17" t="s">
        <v>336</v>
      </c>
      <c r="E310" s="16" t="s">
        <v>314</v>
      </c>
      <c r="F310" s="16" t="s">
        <v>282</v>
      </c>
      <c r="G310" s="16" t="s">
        <v>341</v>
      </c>
      <c r="H310" s="16">
        <v>90</v>
      </c>
      <c r="I310" s="16">
        <v>11.85</v>
      </c>
      <c r="J310" s="16">
        <f>الجدول336112[[#This Row],[إفرادي القطعة الواحدة]]*0.2397184</f>
        <v>2.8406630399999999</v>
      </c>
      <c r="K310" s="16">
        <f>الجدول336112[[#This Row],[إفرادي القطعة الواحدة]]+الجدول336112[[#This Row],[أجور الشحن للقطعة الواحدة]]</f>
        <v>14.69066304</v>
      </c>
      <c r="L310" s="16">
        <f>الجدول336112[[#This Row],[العدد]]*الجدول336112[[#This Row],[إجمالي تكلفة القطعة الواحدة]]</f>
        <v>1322.1596736000001</v>
      </c>
      <c r="M310" s="16" t="s">
        <v>5</v>
      </c>
      <c r="N310" s="18">
        <v>29</v>
      </c>
      <c r="O310" s="19"/>
      <c r="P310" s="18"/>
    </row>
    <row r="311" spans="1:16" s="20" customFormat="1" ht="45" customHeight="1" x14ac:dyDescent="0.2">
      <c r="A311" s="24"/>
      <c r="B311" s="15" t="str">
        <f>IF(الجدول336112[[#This Row],[اسم المسلّم]]="","",ROW()-8)</f>
        <v/>
      </c>
      <c r="C311" s="16"/>
      <c r="D311" s="17" t="s">
        <v>480</v>
      </c>
      <c r="E311" s="16" t="s">
        <v>311</v>
      </c>
      <c r="F311" s="16" t="s">
        <v>251</v>
      </c>
      <c r="G311" s="16" t="s">
        <v>341</v>
      </c>
      <c r="H311" s="16">
        <v>64</v>
      </c>
      <c r="I311" s="16">
        <v>0</v>
      </c>
      <c r="J311" s="16">
        <f>الجدول336112[[#This Row],[إفرادي القطعة الواحدة]]*0.2397184</f>
        <v>0</v>
      </c>
      <c r="K311" s="16">
        <f>الجدول336112[[#This Row],[إفرادي القطعة الواحدة]]+الجدول336112[[#This Row],[أجور الشحن للقطعة الواحدة]]</f>
        <v>0</v>
      </c>
      <c r="L311" s="16">
        <f>الجدول336112[[#This Row],[العدد]]*الجدول336112[[#This Row],[إجمالي تكلفة القطعة الواحدة]]</f>
        <v>0</v>
      </c>
      <c r="M311" s="16" t="s">
        <v>5</v>
      </c>
      <c r="N311" s="18">
        <v>32</v>
      </c>
      <c r="O311" s="19"/>
      <c r="P311" s="18"/>
    </row>
    <row r="312" spans="1:16" s="20" customFormat="1" ht="45" customHeight="1" x14ac:dyDescent="0.2">
      <c r="A312" s="24"/>
      <c r="B312" s="15" t="str">
        <f>IF(الجدول336112[[#This Row],[اسم المسلّم]]="","",ROW()-8)</f>
        <v/>
      </c>
      <c r="C312" s="16"/>
      <c r="D312" s="17" t="s">
        <v>481</v>
      </c>
      <c r="E312" s="16" t="s">
        <v>311</v>
      </c>
      <c r="F312" s="16" t="s">
        <v>257</v>
      </c>
      <c r="G312" s="16" t="s">
        <v>341</v>
      </c>
      <c r="H312" s="16">
        <v>34</v>
      </c>
      <c r="I312" s="16">
        <v>0</v>
      </c>
      <c r="J312" s="16">
        <f>الجدول336112[[#This Row],[إفرادي القطعة الواحدة]]*0.2397184</f>
        <v>0</v>
      </c>
      <c r="K312" s="16">
        <f>الجدول336112[[#This Row],[إفرادي القطعة الواحدة]]+الجدول336112[[#This Row],[أجور الشحن للقطعة الواحدة]]</f>
        <v>0</v>
      </c>
      <c r="L312" s="16">
        <f>الجدول336112[[#This Row],[العدد]]*الجدول336112[[#This Row],[إجمالي تكلفة القطعة الواحدة]]</f>
        <v>0</v>
      </c>
      <c r="M312" s="16" t="s">
        <v>5</v>
      </c>
      <c r="N312" s="18">
        <v>32</v>
      </c>
      <c r="O312" s="19"/>
      <c r="P312" s="18"/>
    </row>
    <row r="313" spans="1:16" s="20" customFormat="1" ht="45" customHeight="1" x14ac:dyDescent="0.2">
      <c r="A313" s="24"/>
      <c r="B313" s="15" t="str">
        <f>IF(الجدول336112[[#This Row],[اسم المسلّم]]="","",ROW()-8)</f>
        <v/>
      </c>
      <c r="C313" s="16"/>
      <c r="D313" s="17" t="s">
        <v>482</v>
      </c>
      <c r="E313" s="16" t="s">
        <v>311</v>
      </c>
      <c r="F313" s="16" t="s">
        <v>258</v>
      </c>
      <c r="G313" s="16" t="s">
        <v>341</v>
      </c>
      <c r="H313" s="16">
        <v>169</v>
      </c>
      <c r="I313" s="16">
        <v>0</v>
      </c>
      <c r="J313" s="16">
        <f>الجدول336112[[#This Row],[إفرادي القطعة الواحدة]]*0.2397184</f>
        <v>0</v>
      </c>
      <c r="K313" s="16">
        <f>الجدول336112[[#This Row],[إفرادي القطعة الواحدة]]+الجدول336112[[#This Row],[أجور الشحن للقطعة الواحدة]]</f>
        <v>0</v>
      </c>
      <c r="L313" s="16">
        <f>الجدول336112[[#This Row],[العدد]]*الجدول336112[[#This Row],[إجمالي تكلفة القطعة الواحدة]]</f>
        <v>0</v>
      </c>
      <c r="M313" s="16" t="s">
        <v>5</v>
      </c>
      <c r="N313" s="18">
        <v>32</v>
      </c>
      <c r="O313" s="19"/>
      <c r="P313" s="18"/>
    </row>
    <row r="314" spans="1:16" s="20" customFormat="1" ht="45" customHeight="1" x14ac:dyDescent="0.2">
      <c r="A314" s="24"/>
      <c r="B314" s="15" t="str">
        <f>IF(الجدول336112[[#This Row],[اسم المسلّم]]="","",ROW()-8)</f>
        <v/>
      </c>
      <c r="C314" s="16"/>
      <c r="D314" s="17" t="s">
        <v>483</v>
      </c>
      <c r="E314" s="16" t="s">
        <v>311</v>
      </c>
      <c r="F314" s="16" t="s">
        <v>252</v>
      </c>
      <c r="G314" s="16" t="s">
        <v>341</v>
      </c>
      <c r="H314" s="16">
        <v>15</v>
      </c>
      <c r="I314" s="16">
        <v>0</v>
      </c>
      <c r="J314" s="16">
        <f>الجدول336112[[#This Row],[إفرادي القطعة الواحدة]]*0.2397184</f>
        <v>0</v>
      </c>
      <c r="K314" s="16">
        <f>الجدول336112[[#This Row],[إفرادي القطعة الواحدة]]+الجدول336112[[#This Row],[أجور الشحن للقطعة الواحدة]]</f>
        <v>0</v>
      </c>
      <c r="L314" s="16">
        <f>الجدول336112[[#This Row],[العدد]]*الجدول336112[[#This Row],[إجمالي تكلفة القطعة الواحدة]]</f>
        <v>0</v>
      </c>
      <c r="M314" s="16" t="s">
        <v>5</v>
      </c>
      <c r="N314" s="18">
        <v>32</v>
      </c>
      <c r="O314" s="19"/>
      <c r="P314" s="18"/>
    </row>
    <row r="315" spans="1:16" s="20" customFormat="1" ht="45" customHeight="1" x14ac:dyDescent="0.2">
      <c r="A315" s="24"/>
      <c r="B315" s="15" t="str">
        <f>IF(الجدول336112[[#This Row],[اسم المسلّم]]="","",ROW()-8)</f>
        <v/>
      </c>
      <c r="C315" s="16"/>
      <c r="D315" s="17" t="s">
        <v>484</v>
      </c>
      <c r="E315" s="16" t="s">
        <v>311</v>
      </c>
      <c r="F315" s="16" t="s">
        <v>260</v>
      </c>
      <c r="G315" s="16" t="s">
        <v>341</v>
      </c>
      <c r="H315" s="16">
        <v>4</v>
      </c>
      <c r="I315" s="16">
        <v>0</v>
      </c>
      <c r="J315" s="16">
        <f>الجدول336112[[#This Row],[إفرادي القطعة الواحدة]]*0.2397184</f>
        <v>0</v>
      </c>
      <c r="K315" s="16">
        <f>الجدول336112[[#This Row],[إفرادي القطعة الواحدة]]+الجدول336112[[#This Row],[أجور الشحن للقطعة الواحدة]]</f>
        <v>0</v>
      </c>
      <c r="L315" s="16">
        <f>الجدول336112[[#This Row],[العدد]]*الجدول336112[[#This Row],[إجمالي تكلفة القطعة الواحدة]]</f>
        <v>0</v>
      </c>
      <c r="M315" s="16" t="s">
        <v>5</v>
      </c>
      <c r="N315" s="18">
        <v>32</v>
      </c>
      <c r="O315" s="19"/>
      <c r="P315" s="18"/>
    </row>
    <row r="316" spans="1:16" s="20" customFormat="1" ht="45" customHeight="1" x14ac:dyDescent="0.2">
      <c r="A316" s="24"/>
      <c r="B316" s="15" t="str">
        <f>IF(الجدول336112[[#This Row],[اسم المسلّم]]="","",ROW()-8)</f>
        <v/>
      </c>
      <c r="C316" s="16"/>
      <c r="D316" s="17" t="s">
        <v>318</v>
      </c>
      <c r="E316" s="16" t="s">
        <v>295</v>
      </c>
      <c r="F316" s="16" t="s">
        <v>289</v>
      </c>
      <c r="G316" s="16" t="s">
        <v>341</v>
      </c>
      <c r="H316" s="16">
        <v>100</v>
      </c>
      <c r="I316" s="16">
        <v>0.99</v>
      </c>
      <c r="J316" s="16">
        <f>الجدول336112[[#This Row],[إفرادي القطعة الواحدة]]*0.2397184</f>
        <v>0.237321216</v>
      </c>
      <c r="K316" s="16">
        <f>الجدول336112[[#This Row],[إفرادي القطعة الواحدة]]+الجدول336112[[#This Row],[أجور الشحن للقطعة الواحدة]]</f>
        <v>1.227321216</v>
      </c>
      <c r="L316" s="16">
        <f>الجدول336112[[#This Row],[العدد]]*الجدول336112[[#This Row],[إجمالي تكلفة القطعة الواحدة]]</f>
        <v>122.7321216</v>
      </c>
      <c r="M316" s="16" t="s">
        <v>5</v>
      </c>
      <c r="N316" s="18">
        <v>31</v>
      </c>
      <c r="O316" s="19"/>
      <c r="P316" s="18"/>
    </row>
    <row r="317" spans="1:16" s="20" customFormat="1" ht="45" customHeight="1" x14ac:dyDescent="0.2">
      <c r="A317" s="24"/>
      <c r="B317" s="15" t="str">
        <f>IF(الجدول336112[[#This Row],[اسم المسلّم]]="","",ROW()-8)</f>
        <v/>
      </c>
      <c r="C317" s="16"/>
      <c r="D317" s="17" t="s">
        <v>523</v>
      </c>
      <c r="E317" s="16" t="s">
        <v>311</v>
      </c>
      <c r="F317" s="16" t="s">
        <v>255</v>
      </c>
      <c r="G317" s="16" t="s">
        <v>341</v>
      </c>
      <c r="H317" s="16">
        <v>83</v>
      </c>
      <c r="I317" s="16">
        <v>0</v>
      </c>
      <c r="J317" s="16">
        <f>الجدول336112[[#This Row],[إفرادي القطعة الواحدة]]*0.2397184</f>
        <v>0</v>
      </c>
      <c r="K317" s="16">
        <f>الجدول336112[[#This Row],[إفرادي القطعة الواحدة]]+الجدول336112[[#This Row],[أجور الشحن للقطعة الواحدة]]</f>
        <v>0</v>
      </c>
      <c r="L317" s="16">
        <f>الجدول336112[[#This Row],[العدد]]*الجدول336112[[#This Row],[إجمالي تكلفة القطعة الواحدة]]</f>
        <v>0</v>
      </c>
      <c r="M317" s="16" t="s">
        <v>5</v>
      </c>
      <c r="N317" s="18">
        <v>32</v>
      </c>
      <c r="O317" s="19"/>
      <c r="P317" s="18"/>
    </row>
    <row r="318" spans="1:16" s="20" customFormat="1" ht="45" customHeight="1" x14ac:dyDescent="0.2">
      <c r="A318" s="24"/>
      <c r="B318" s="15" t="str">
        <f>IF(الجدول336112[[#This Row],[اسم المسلّم]]="","",ROW()-8)</f>
        <v/>
      </c>
      <c r="C318" s="16"/>
      <c r="D318" s="17" t="s">
        <v>486</v>
      </c>
      <c r="E318" s="16" t="s">
        <v>308</v>
      </c>
      <c r="F318" s="16" t="s">
        <v>485</v>
      </c>
      <c r="G318" s="16" t="s">
        <v>341</v>
      </c>
      <c r="H318" s="16">
        <v>250</v>
      </c>
      <c r="I318" s="16">
        <v>0</v>
      </c>
      <c r="J318" s="16">
        <f>الجدول336112[[#This Row],[إفرادي القطعة الواحدة]]*0.2397184</f>
        <v>0</v>
      </c>
      <c r="K318" s="16">
        <f>الجدول336112[[#This Row],[إفرادي القطعة الواحدة]]+الجدول336112[[#This Row],[أجور الشحن للقطعة الواحدة]]</f>
        <v>0</v>
      </c>
      <c r="L318" s="16">
        <f>الجدول336112[[#This Row],[العدد]]*الجدول336112[[#This Row],[إجمالي تكلفة القطعة الواحدة]]</f>
        <v>0</v>
      </c>
      <c r="M318" s="16" t="s">
        <v>5</v>
      </c>
      <c r="N318" s="18">
        <v>30</v>
      </c>
      <c r="O318" s="19"/>
      <c r="P318" s="18"/>
    </row>
    <row r="319" spans="1:16" s="20" customFormat="1" ht="45" customHeight="1" x14ac:dyDescent="0.2">
      <c r="A319" s="24"/>
      <c r="B319" s="15" t="str">
        <f>IF(الجدول336112[[#This Row],[اسم المسلّم]]="","",ROW()-8)</f>
        <v/>
      </c>
      <c r="C319" s="16"/>
      <c r="D319" s="17" t="s">
        <v>487</v>
      </c>
      <c r="E319" s="16" t="s">
        <v>311</v>
      </c>
      <c r="F319" s="16" t="s">
        <v>262</v>
      </c>
      <c r="G319" s="16" t="s">
        <v>341</v>
      </c>
      <c r="H319" s="16">
        <v>73</v>
      </c>
      <c r="I319" s="16">
        <v>41.67</v>
      </c>
      <c r="J319" s="16">
        <f>الجدول336112[[#This Row],[إفرادي القطعة الواحدة]]*0.2397184</f>
        <v>9.9890657279999999</v>
      </c>
      <c r="K319" s="16">
        <f>الجدول336112[[#This Row],[إفرادي القطعة الواحدة]]+الجدول336112[[#This Row],[أجور الشحن للقطعة الواحدة]]</f>
        <v>51.659065728000002</v>
      </c>
      <c r="L319" s="16">
        <f>الجدول336112[[#This Row],[العدد]]*الجدول336112[[#This Row],[إجمالي تكلفة القطعة الواحدة]]</f>
        <v>3771.1117981440002</v>
      </c>
      <c r="M319" s="16" t="s">
        <v>5</v>
      </c>
      <c r="N319" s="18">
        <v>32</v>
      </c>
      <c r="O319" s="19"/>
      <c r="P319" s="18"/>
    </row>
    <row r="320" spans="1:16" s="20" customFormat="1" ht="45" customHeight="1" x14ac:dyDescent="0.2">
      <c r="A320" s="24"/>
      <c r="B320" s="15" t="str">
        <f>IF(الجدول336112[[#This Row],[اسم المسلّم]]="","",ROW()-8)</f>
        <v/>
      </c>
      <c r="C320" s="16"/>
      <c r="D320" s="17" t="s">
        <v>490</v>
      </c>
      <c r="E320" s="16" t="s">
        <v>311</v>
      </c>
      <c r="F320" s="16" t="s">
        <v>253</v>
      </c>
      <c r="G320" s="16" t="s">
        <v>341</v>
      </c>
      <c r="H320" s="16">
        <v>75</v>
      </c>
      <c r="I320" s="16">
        <v>0</v>
      </c>
      <c r="J320" s="16">
        <f>الجدول336112[[#This Row],[إفرادي القطعة الواحدة]]*0.2397184</f>
        <v>0</v>
      </c>
      <c r="K320" s="16">
        <f>الجدول336112[[#This Row],[إفرادي القطعة الواحدة]]+الجدول336112[[#This Row],[أجور الشحن للقطعة الواحدة]]</f>
        <v>0</v>
      </c>
      <c r="L320" s="16">
        <f>الجدول336112[[#This Row],[العدد]]*الجدول336112[[#This Row],[إجمالي تكلفة القطعة الواحدة]]</f>
        <v>0</v>
      </c>
      <c r="M320" s="16" t="s">
        <v>5</v>
      </c>
      <c r="N320" s="18">
        <v>32</v>
      </c>
      <c r="O320" s="19"/>
      <c r="P320" s="18"/>
    </row>
    <row r="321" spans="1:16" s="20" customFormat="1" ht="45" customHeight="1" x14ac:dyDescent="0.2">
      <c r="A321" s="24"/>
      <c r="B321" s="15" t="str">
        <f>IF(الجدول336112[[#This Row],[اسم المسلّم]]="","",ROW()-8)</f>
        <v/>
      </c>
      <c r="C321" s="16"/>
      <c r="D321" s="17" t="s">
        <v>489</v>
      </c>
      <c r="E321" s="16" t="s">
        <v>311</v>
      </c>
      <c r="F321" s="16" t="s">
        <v>246</v>
      </c>
      <c r="G321" s="16" t="s">
        <v>341</v>
      </c>
      <c r="H321" s="16">
        <v>75</v>
      </c>
      <c r="I321" s="16">
        <v>0</v>
      </c>
      <c r="J321" s="16">
        <f>الجدول336112[[#This Row],[إفرادي القطعة الواحدة]]*0.2397184</f>
        <v>0</v>
      </c>
      <c r="K321" s="16">
        <f>الجدول336112[[#This Row],[إفرادي القطعة الواحدة]]+الجدول336112[[#This Row],[أجور الشحن للقطعة الواحدة]]</f>
        <v>0</v>
      </c>
      <c r="L321" s="16">
        <f>الجدول336112[[#This Row],[العدد]]*الجدول336112[[#This Row],[إجمالي تكلفة القطعة الواحدة]]</f>
        <v>0</v>
      </c>
      <c r="M321" s="16" t="s">
        <v>5</v>
      </c>
      <c r="N321" s="18">
        <v>32</v>
      </c>
      <c r="O321" s="19"/>
      <c r="P321" s="18"/>
    </row>
    <row r="322" spans="1:16" s="20" customFormat="1" ht="45" customHeight="1" x14ac:dyDescent="0.2">
      <c r="A322" s="24"/>
      <c r="B322" s="15" t="str">
        <f>IF(الجدول336112[[#This Row],[اسم المسلّم]]="","",ROW()-8)</f>
        <v/>
      </c>
      <c r="C322" s="16"/>
      <c r="D322" s="17" t="s">
        <v>488</v>
      </c>
      <c r="E322" s="16" t="s">
        <v>311</v>
      </c>
      <c r="F322" s="16" t="s">
        <v>259</v>
      </c>
      <c r="G322" s="16" t="s">
        <v>341</v>
      </c>
      <c r="H322" s="16">
        <v>70</v>
      </c>
      <c r="I322" s="16">
        <v>0</v>
      </c>
      <c r="J322" s="16">
        <f>الجدول336112[[#This Row],[إفرادي القطعة الواحدة]]*0.2397184</f>
        <v>0</v>
      </c>
      <c r="K322" s="16">
        <f>الجدول336112[[#This Row],[إفرادي القطعة الواحدة]]+الجدول336112[[#This Row],[أجور الشحن للقطعة الواحدة]]</f>
        <v>0</v>
      </c>
      <c r="L322" s="16">
        <f>الجدول336112[[#This Row],[العدد]]*الجدول336112[[#This Row],[إجمالي تكلفة القطعة الواحدة]]</f>
        <v>0</v>
      </c>
      <c r="M322" s="16" t="s">
        <v>5</v>
      </c>
      <c r="N322" s="18">
        <v>32</v>
      </c>
      <c r="O322" s="19"/>
      <c r="P322" s="18"/>
    </row>
    <row r="323" spans="1:16" s="20" customFormat="1" ht="45" customHeight="1" x14ac:dyDescent="0.2">
      <c r="A323" s="24"/>
      <c r="B323" s="15" t="str">
        <f>IF(الجدول336112[[#This Row],[اسم المسلّم]]="","",ROW()-8)</f>
        <v/>
      </c>
      <c r="C323" s="16"/>
      <c r="D323" s="17" t="s">
        <v>330</v>
      </c>
      <c r="E323" s="16" t="s">
        <v>306</v>
      </c>
      <c r="F323" s="16" t="s">
        <v>236</v>
      </c>
      <c r="G323" s="16" t="s">
        <v>375</v>
      </c>
      <c r="H323" s="16">
        <v>500</v>
      </c>
      <c r="I323" s="16">
        <v>0.5</v>
      </c>
      <c r="J323" s="16">
        <f>الجدول336112[[#This Row],[إفرادي القطعة الواحدة]]*0.2397184</f>
        <v>0.1198592</v>
      </c>
      <c r="K323" s="16">
        <f>الجدول336112[[#This Row],[إفرادي القطعة الواحدة]]+الجدول336112[[#This Row],[أجور الشحن للقطعة الواحدة]]</f>
        <v>0.61985920000000005</v>
      </c>
      <c r="L323" s="16">
        <f>الجدول336112[[#This Row],[العدد]]*الجدول336112[[#This Row],[إجمالي تكلفة القطعة الواحدة]]</f>
        <v>309.92960000000005</v>
      </c>
      <c r="M323" s="16" t="s">
        <v>5</v>
      </c>
      <c r="N323" s="18">
        <v>32</v>
      </c>
      <c r="O323" s="19"/>
      <c r="P323" s="18"/>
    </row>
    <row r="324" spans="1:16" s="20" customFormat="1" ht="45" customHeight="1" x14ac:dyDescent="0.2">
      <c r="A324" s="24"/>
      <c r="B324" s="15" t="str">
        <f>IF(الجدول336112[[#This Row],[اسم المسلّم]]="","",ROW()-8)</f>
        <v/>
      </c>
      <c r="C324" s="16"/>
      <c r="D324" s="17" t="s">
        <v>491</v>
      </c>
      <c r="E324" s="16" t="s">
        <v>311</v>
      </c>
      <c r="F324" s="16" t="s">
        <v>256</v>
      </c>
      <c r="G324" s="16" t="s">
        <v>341</v>
      </c>
      <c r="H324" s="16">
        <v>9</v>
      </c>
      <c r="I324" s="16">
        <v>10</v>
      </c>
      <c r="J324" s="16">
        <f>الجدول336112[[#This Row],[إفرادي القطعة الواحدة]]*0.2397184</f>
        <v>2.3971840000000002</v>
      </c>
      <c r="K324" s="16">
        <f>الجدول336112[[#This Row],[إفرادي القطعة الواحدة]]+الجدول336112[[#This Row],[أجور الشحن للقطعة الواحدة]]</f>
        <v>12.397183999999999</v>
      </c>
      <c r="L324" s="16">
        <f>الجدول336112[[#This Row],[العدد]]*الجدول336112[[#This Row],[إجمالي تكلفة القطعة الواحدة]]</f>
        <v>111.57465599999999</v>
      </c>
      <c r="M324" s="16" t="s">
        <v>5</v>
      </c>
      <c r="N324" s="18">
        <v>32</v>
      </c>
      <c r="O324" s="19"/>
      <c r="P324" s="18"/>
    </row>
    <row r="325" spans="1:16" s="20" customFormat="1" ht="45" customHeight="1" x14ac:dyDescent="0.2">
      <c r="A325" s="24"/>
      <c r="B325" s="15" t="str">
        <f>IF(الجدول336112[[#This Row],[اسم المسلّم]]="","",ROW()-8)</f>
        <v/>
      </c>
      <c r="C325" s="16"/>
      <c r="D325" s="17" t="s">
        <v>492</v>
      </c>
      <c r="E325" s="16" t="s">
        <v>311</v>
      </c>
      <c r="F325" s="16" t="s">
        <v>257</v>
      </c>
      <c r="G325" s="16" t="s">
        <v>341</v>
      </c>
      <c r="H325" s="16">
        <v>1</v>
      </c>
      <c r="I325" s="16">
        <v>0</v>
      </c>
      <c r="J325" s="16">
        <f>الجدول336112[[#This Row],[إفرادي القطعة الواحدة]]*0.2397184</f>
        <v>0</v>
      </c>
      <c r="K325" s="16">
        <f>الجدول336112[[#This Row],[إفرادي القطعة الواحدة]]+الجدول336112[[#This Row],[أجور الشحن للقطعة الواحدة]]</f>
        <v>0</v>
      </c>
      <c r="L325" s="16">
        <f>الجدول336112[[#This Row],[العدد]]*الجدول336112[[#This Row],[إجمالي تكلفة القطعة الواحدة]]</f>
        <v>0</v>
      </c>
      <c r="M325" s="16" t="s">
        <v>5</v>
      </c>
      <c r="N325" s="18">
        <v>32</v>
      </c>
      <c r="O325" s="19"/>
      <c r="P325" s="18"/>
    </row>
    <row r="326" spans="1:16" s="20" customFormat="1" ht="45" customHeight="1" x14ac:dyDescent="0.2">
      <c r="A326" s="24"/>
      <c r="B326" s="15" t="str">
        <f>IF(الجدول336112[[#This Row],[اسم المسلّم]]="","",ROW()-8)</f>
        <v/>
      </c>
      <c r="C326" s="16"/>
      <c r="D326" s="17" t="s">
        <v>321</v>
      </c>
      <c r="E326" s="16" t="s">
        <v>298</v>
      </c>
      <c r="F326" s="16" t="s">
        <v>206</v>
      </c>
      <c r="G326" s="16" t="s">
        <v>341</v>
      </c>
      <c r="H326" s="16">
        <v>10000</v>
      </c>
      <c r="I326" s="16">
        <v>0.21</v>
      </c>
      <c r="J326" s="16">
        <f>الجدول336112[[#This Row],[إفرادي القطعة الواحدة]]*0.2397184</f>
        <v>5.0340863999999999E-2</v>
      </c>
      <c r="K326" s="16">
        <f>الجدول336112[[#This Row],[إفرادي القطعة الواحدة]]+الجدول336112[[#This Row],[أجور الشحن للقطعة الواحدة]]</f>
        <v>0.26034086400000001</v>
      </c>
      <c r="L326" s="16">
        <f>الجدول336112[[#This Row],[العدد]]*الجدول336112[[#This Row],[إجمالي تكلفة القطعة الواحدة]]</f>
        <v>2603.4086400000001</v>
      </c>
      <c r="M326" s="16" t="s">
        <v>5</v>
      </c>
      <c r="N326" s="18">
        <v>33</v>
      </c>
      <c r="O326" s="19"/>
      <c r="P326" s="18"/>
    </row>
    <row r="327" spans="1:16" s="20" customFormat="1" ht="45" customHeight="1" x14ac:dyDescent="0.2">
      <c r="A327" s="24"/>
      <c r="B327" s="15" t="str">
        <f>IF(الجدول336112[[#This Row],[اسم المسلّم]]="","",ROW()-8)</f>
        <v/>
      </c>
      <c r="C327" s="16"/>
      <c r="D327" s="17" t="s">
        <v>331</v>
      </c>
      <c r="E327" s="16" t="s">
        <v>307</v>
      </c>
      <c r="F327" s="16" t="s">
        <v>493</v>
      </c>
      <c r="G327" s="16" t="s">
        <v>341</v>
      </c>
      <c r="H327" s="16">
        <v>1500</v>
      </c>
      <c r="I327" s="16">
        <v>0.5</v>
      </c>
      <c r="J327" s="16">
        <f>الجدول336112[[#This Row],[إفرادي القطعة الواحدة]]*0.2397184</f>
        <v>0.1198592</v>
      </c>
      <c r="K327" s="16">
        <f>الجدول336112[[#This Row],[إفرادي القطعة الواحدة]]+الجدول336112[[#This Row],[أجور الشحن للقطعة الواحدة]]</f>
        <v>0.61985920000000005</v>
      </c>
      <c r="L327" s="16">
        <f>الجدول336112[[#This Row],[العدد]]*الجدول336112[[#This Row],[إجمالي تكلفة القطعة الواحدة]]</f>
        <v>929.78880000000004</v>
      </c>
      <c r="M327" s="16" t="s">
        <v>5</v>
      </c>
      <c r="N327" s="18">
        <v>33</v>
      </c>
      <c r="O327" s="19"/>
      <c r="P327" s="18"/>
    </row>
    <row r="328" spans="1:16" s="20" customFormat="1" ht="45" customHeight="1" x14ac:dyDescent="0.2">
      <c r="A328" s="24"/>
      <c r="B328" s="15" t="str">
        <f>IF(الجدول336112[[#This Row],[اسم المسلّم]]="","",ROW()-8)</f>
        <v/>
      </c>
      <c r="C328" s="16"/>
      <c r="D328" s="17" t="s">
        <v>495</v>
      </c>
      <c r="E328" s="16" t="s">
        <v>494</v>
      </c>
      <c r="F328" s="16" t="s">
        <v>496</v>
      </c>
      <c r="G328" s="16" t="s">
        <v>374</v>
      </c>
      <c r="H328" s="16">
        <v>18</v>
      </c>
      <c r="I328" s="16">
        <v>0</v>
      </c>
      <c r="J328" s="16">
        <f>الجدول336112[[#This Row],[إفرادي القطعة الواحدة]]*0.2397184</f>
        <v>0</v>
      </c>
      <c r="K328" s="16">
        <f>الجدول336112[[#This Row],[إفرادي القطعة الواحدة]]+الجدول336112[[#This Row],[أجور الشحن للقطعة الواحدة]]</f>
        <v>0</v>
      </c>
      <c r="L328" s="16">
        <f>الجدول336112[[#This Row],[العدد]]*الجدول336112[[#This Row],[إجمالي تكلفة القطعة الواحدة]]</f>
        <v>0</v>
      </c>
      <c r="M328" s="16" t="s">
        <v>5</v>
      </c>
      <c r="N328" s="18">
        <v>34</v>
      </c>
      <c r="O328" s="19"/>
      <c r="P328" s="18"/>
    </row>
    <row r="329" spans="1:16" s="20" customFormat="1" ht="45" customHeight="1" x14ac:dyDescent="0.2">
      <c r="A329" s="24"/>
      <c r="B329" s="15" t="str">
        <f>IF(الجدول336112[[#This Row],[اسم المسلّم]]="","",ROW()-8)</f>
        <v/>
      </c>
      <c r="C329" s="16"/>
      <c r="D329" s="17" t="s">
        <v>499</v>
      </c>
      <c r="E329" s="16" t="s">
        <v>497</v>
      </c>
      <c r="F329" s="16" t="s">
        <v>498</v>
      </c>
      <c r="G329" s="16" t="s">
        <v>341</v>
      </c>
      <c r="H329" s="16">
        <v>150</v>
      </c>
      <c r="I329" s="16">
        <v>0</v>
      </c>
      <c r="J329" s="16">
        <f>الجدول336112[[#This Row],[إفرادي القطعة الواحدة]]*0.2397184</f>
        <v>0</v>
      </c>
      <c r="K329" s="16">
        <f>الجدول336112[[#This Row],[إفرادي القطعة الواحدة]]+الجدول336112[[#This Row],[أجور الشحن للقطعة الواحدة]]</f>
        <v>0</v>
      </c>
      <c r="L329" s="16">
        <f>الجدول336112[[#This Row],[العدد]]*الجدول336112[[#This Row],[إجمالي تكلفة القطعة الواحدة]]</f>
        <v>0</v>
      </c>
      <c r="M329" s="16" t="s">
        <v>5</v>
      </c>
      <c r="N329" s="18">
        <v>34</v>
      </c>
      <c r="O329" s="19"/>
      <c r="P329" s="18"/>
    </row>
    <row r="330" spans="1:16" s="20" customFormat="1" ht="45" customHeight="1" x14ac:dyDescent="0.2">
      <c r="A330" s="24"/>
      <c r="B330" s="15" t="str">
        <f>IF(الجدول336112[[#This Row],[اسم المسلّم]]="","",ROW()-8)</f>
        <v/>
      </c>
      <c r="C330" s="16"/>
      <c r="D330" s="17" t="s">
        <v>336</v>
      </c>
      <c r="E330" s="16" t="s">
        <v>314</v>
      </c>
      <c r="F330" s="16" t="s">
        <v>500</v>
      </c>
      <c r="G330" s="16" t="s">
        <v>341</v>
      </c>
      <c r="H330" s="16">
        <v>100</v>
      </c>
      <c r="I330" s="16">
        <v>1.93</v>
      </c>
      <c r="J330" s="16">
        <f>الجدول336112[[#This Row],[إفرادي القطعة الواحدة]]*0.2397184</f>
        <v>0.46265651199999996</v>
      </c>
      <c r="K330" s="16">
        <f>الجدول336112[[#This Row],[إفرادي القطعة الواحدة]]+الجدول336112[[#This Row],[أجور الشحن للقطعة الواحدة]]</f>
        <v>2.3926565119999998</v>
      </c>
      <c r="L330" s="16">
        <f>الجدول336112[[#This Row],[العدد]]*الجدول336112[[#This Row],[إجمالي تكلفة القطعة الواحدة]]</f>
        <v>239.26565119999998</v>
      </c>
      <c r="M330" s="16" t="s">
        <v>5</v>
      </c>
      <c r="N330" s="18">
        <v>35</v>
      </c>
      <c r="O330" s="19"/>
      <c r="P330" s="18"/>
    </row>
    <row r="331" spans="1:16" s="20" customFormat="1" ht="45" customHeight="1" x14ac:dyDescent="0.2">
      <c r="A331" s="24"/>
      <c r="B331" s="15" t="str">
        <f>IF(الجدول336112[[#This Row],[اسم المسلّم]]="","",ROW()-8)</f>
        <v/>
      </c>
      <c r="C331" s="16"/>
      <c r="D331" s="17" t="s">
        <v>336</v>
      </c>
      <c r="E331" s="16" t="s">
        <v>314</v>
      </c>
      <c r="F331" s="16" t="s">
        <v>282</v>
      </c>
      <c r="G331" s="16" t="s">
        <v>341</v>
      </c>
      <c r="H331" s="16">
        <v>10</v>
      </c>
      <c r="I331" s="16">
        <v>11.85</v>
      </c>
      <c r="J331" s="16">
        <f>الجدول336112[[#This Row],[إفرادي القطعة الواحدة]]*0.2397184</f>
        <v>2.8406630399999999</v>
      </c>
      <c r="K331" s="16">
        <f>الجدول336112[[#This Row],[إفرادي القطعة الواحدة]]+الجدول336112[[#This Row],[أجور الشحن للقطعة الواحدة]]</f>
        <v>14.69066304</v>
      </c>
      <c r="L331" s="16">
        <f>الجدول336112[[#This Row],[العدد]]*الجدول336112[[#This Row],[إجمالي تكلفة القطعة الواحدة]]</f>
        <v>146.90663040000001</v>
      </c>
      <c r="M331" s="16" t="s">
        <v>5</v>
      </c>
      <c r="N331" s="18">
        <v>35</v>
      </c>
      <c r="O331" s="19"/>
      <c r="P331" s="18"/>
    </row>
    <row r="332" spans="1:16" s="20" customFormat="1" ht="45" customHeight="1" x14ac:dyDescent="0.2">
      <c r="A332" s="24"/>
      <c r="B332" s="15" t="str">
        <f>IF(الجدول336112[[#This Row],[اسم المسلّم]]="","",ROW()-8)</f>
        <v/>
      </c>
      <c r="C332" s="16"/>
      <c r="D332" s="17" t="s">
        <v>336</v>
      </c>
      <c r="E332" s="16" t="s">
        <v>314</v>
      </c>
      <c r="F332" s="16" t="s">
        <v>501</v>
      </c>
      <c r="G332" s="16" t="s">
        <v>341</v>
      </c>
      <c r="H332" s="16">
        <v>50</v>
      </c>
      <c r="I332" s="16">
        <v>8.74</v>
      </c>
      <c r="J332" s="16">
        <f>الجدول336112[[#This Row],[إفرادي القطعة الواحدة]]*0.2397184</f>
        <v>2.095138816</v>
      </c>
      <c r="K332" s="16">
        <f>الجدول336112[[#This Row],[إفرادي القطعة الواحدة]]+الجدول336112[[#This Row],[أجور الشحن للقطعة الواحدة]]</f>
        <v>10.835138816000001</v>
      </c>
      <c r="L332" s="16">
        <f>الجدول336112[[#This Row],[العدد]]*الجدول336112[[#This Row],[إجمالي تكلفة القطعة الواحدة]]</f>
        <v>541.75694080000005</v>
      </c>
      <c r="M332" s="16" t="s">
        <v>5</v>
      </c>
      <c r="N332" s="18">
        <v>35</v>
      </c>
      <c r="O332" s="19"/>
      <c r="P332" s="18"/>
    </row>
    <row r="333" spans="1:16" s="20" customFormat="1" ht="45" customHeight="1" x14ac:dyDescent="0.2">
      <c r="A333" s="24"/>
      <c r="B333" s="15" t="str">
        <f>IF(الجدول336112[[#This Row],[اسم المسلّم]]="","",ROW()-8)</f>
        <v/>
      </c>
      <c r="C333" s="16"/>
      <c r="D333" s="17" t="s">
        <v>336</v>
      </c>
      <c r="E333" s="16" t="s">
        <v>314</v>
      </c>
      <c r="F333" s="16" t="s">
        <v>502</v>
      </c>
      <c r="G333" s="16" t="s">
        <v>341</v>
      </c>
      <c r="H333" s="16">
        <v>100</v>
      </c>
      <c r="I333" s="16">
        <v>3.82</v>
      </c>
      <c r="J333" s="16">
        <f>الجدول336112[[#This Row],[إفرادي القطعة الواحدة]]*0.2397184</f>
        <v>0.91572428799999994</v>
      </c>
      <c r="K333" s="16">
        <f>الجدول336112[[#This Row],[إفرادي القطعة الواحدة]]+الجدول336112[[#This Row],[أجور الشحن للقطعة الواحدة]]</f>
        <v>4.7357242880000001</v>
      </c>
      <c r="L333" s="16">
        <f>الجدول336112[[#This Row],[العدد]]*الجدول336112[[#This Row],[إجمالي تكلفة القطعة الواحدة]]</f>
        <v>473.57242880000001</v>
      </c>
      <c r="M333" s="16" t="s">
        <v>5</v>
      </c>
      <c r="N333" s="18">
        <v>35</v>
      </c>
      <c r="O333" s="19"/>
      <c r="P333" s="18"/>
    </row>
    <row r="334" spans="1:16" s="20" customFormat="1" ht="45" customHeight="1" x14ac:dyDescent="0.2">
      <c r="A334" s="24"/>
      <c r="B334" s="15" t="str">
        <f>IF(الجدول336112[[#This Row],[اسم المسلّم]]="","",ROW()-8)</f>
        <v/>
      </c>
      <c r="C334" s="16"/>
      <c r="D334" s="17" t="s">
        <v>336</v>
      </c>
      <c r="E334" s="16" t="s">
        <v>314</v>
      </c>
      <c r="F334" s="16" t="s">
        <v>503</v>
      </c>
      <c r="G334" s="16" t="s">
        <v>341</v>
      </c>
      <c r="H334" s="16">
        <v>100</v>
      </c>
      <c r="I334" s="16">
        <v>1.41</v>
      </c>
      <c r="J334" s="16">
        <f>الجدول336112[[#This Row],[إفرادي القطعة الواحدة]]*0.2397184</f>
        <v>0.33800294399999997</v>
      </c>
      <c r="K334" s="16">
        <f>الجدول336112[[#This Row],[إفرادي القطعة الواحدة]]+الجدول336112[[#This Row],[أجور الشحن للقطعة الواحدة]]</f>
        <v>1.748002944</v>
      </c>
      <c r="L334" s="16">
        <f>الجدول336112[[#This Row],[العدد]]*الجدول336112[[#This Row],[إجمالي تكلفة القطعة الواحدة]]</f>
        <v>174.80029440000001</v>
      </c>
      <c r="M334" s="16" t="s">
        <v>5</v>
      </c>
      <c r="N334" s="18">
        <v>35</v>
      </c>
      <c r="O334" s="19"/>
      <c r="P334" s="18"/>
    </row>
    <row r="335" spans="1:16" s="20" customFormat="1" ht="45" customHeight="1" x14ac:dyDescent="0.2">
      <c r="A335" s="24"/>
      <c r="B335" s="15" t="str">
        <f>IF(الجدول336112[[#This Row],[اسم المسلّم]]="","",ROW()-8)</f>
        <v/>
      </c>
      <c r="C335" s="16"/>
      <c r="D335" s="17" t="s">
        <v>336</v>
      </c>
      <c r="E335" s="16" t="s">
        <v>314</v>
      </c>
      <c r="F335" s="16" t="s">
        <v>504</v>
      </c>
      <c r="G335" s="16" t="s">
        <v>341</v>
      </c>
      <c r="H335" s="16">
        <v>100</v>
      </c>
      <c r="I335" s="16">
        <v>1.19</v>
      </c>
      <c r="J335" s="16">
        <f>الجدول336112[[#This Row],[إفرادي القطعة الواحدة]]*0.2397184</f>
        <v>0.28526489599999999</v>
      </c>
      <c r="K335" s="16">
        <f>الجدول336112[[#This Row],[إفرادي القطعة الواحدة]]+الجدول336112[[#This Row],[أجور الشحن للقطعة الواحدة]]</f>
        <v>1.4752648959999999</v>
      </c>
      <c r="L335" s="16">
        <f>الجدول336112[[#This Row],[العدد]]*الجدول336112[[#This Row],[إجمالي تكلفة القطعة الواحدة]]</f>
        <v>147.52648959999999</v>
      </c>
      <c r="M335" s="16" t="s">
        <v>5</v>
      </c>
      <c r="N335" s="18">
        <v>35</v>
      </c>
      <c r="O335" s="19"/>
      <c r="P335" s="18"/>
    </row>
    <row r="336" spans="1:16" s="20" customFormat="1" ht="45" customHeight="1" x14ac:dyDescent="0.2">
      <c r="A336" s="24"/>
      <c r="B336" s="15" t="str">
        <f>IF(الجدول336112[[#This Row],[اسم المسلّم]]="","",ROW()-8)</f>
        <v/>
      </c>
      <c r="C336" s="16"/>
      <c r="D336" s="17" t="s">
        <v>336</v>
      </c>
      <c r="E336" s="16" t="s">
        <v>314</v>
      </c>
      <c r="F336" s="16" t="s">
        <v>278</v>
      </c>
      <c r="G336" s="16" t="s">
        <v>341</v>
      </c>
      <c r="H336" s="16">
        <v>100</v>
      </c>
      <c r="I336" s="16">
        <v>1.63</v>
      </c>
      <c r="J336" s="16">
        <f>الجدول336112[[#This Row],[إفرادي القطعة الواحدة]]*0.2397184</f>
        <v>0.39074099199999995</v>
      </c>
      <c r="K336" s="16">
        <f>الجدول336112[[#This Row],[إفرادي القطعة الواحدة]]+الجدول336112[[#This Row],[أجور الشحن للقطعة الواحدة]]</f>
        <v>2.0207409919999999</v>
      </c>
      <c r="L336" s="16">
        <f>الجدول336112[[#This Row],[العدد]]*الجدول336112[[#This Row],[إجمالي تكلفة القطعة الواحدة]]</f>
        <v>202.07409919999998</v>
      </c>
      <c r="M336" s="16" t="s">
        <v>5</v>
      </c>
      <c r="N336" s="18">
        <v>35</v>
      </c>
      <c r="O336" s="19"/>
      <c r="P336" s="18"/>
    </row>
    <row r="337" spans="1:16" s="20" customFormat="1" ht="45" customHeight="1" x14ac:dyDescent="0.2">
      <c r="A337" s="24"/>
      <c r="B337" s="15" t="str">
        <f>IF(الجدول336112[[#This Row],[اسم المسلّم]]="","",ROW()-8)</f>
        <v/>
      </c>
      <c r="C337" s="16"/>
      <c r="D337" s="17" t="s">
        <v>336</v>
      </c>
      <c r="E337" s="16" t="s">
        <v>314</v>
      </c>
      <c r="F337" s="16" t="s">
        <v>280</v>
      </c>
      <c r="G337" s="16" t="s">
        <v>341</v>
      </c>
      <c r="H337" s="16">
        <v>150</v>
      </c>
      <c r="I337" s="16">
        <v>2.97</v>
      </c>
      <c r="J337" s="16">
        <f>الجدول336112[[#This Row],[إفرادي القطعة الواحدة]]*0.2397184</f>
        <v>0.711963648</v>
      </c>
      <c r="K337" s="16">
        <f>الجدول336112[[#This Row],[إفرادي القطعة الواحدة]]+الجدول336112[[#This Row],[أجور الشحن للقطعة الواحدة]]</f>
        <v>3.681963648</v>
      </c>
      <c r="L337" s="16">
        <f>الجدول336112[[#This Row],[العدد]]*الجدول336112[[#This Row],[إجمالي تكلفة القطعة الواحدة]]</f>
        <v>552.29454720000001</v>
      </c>
      <c r="M337" s="16" t="s">
        <v>5</v>
      </c>
      <c r="N337" s="18">
        <v>35</v>
      </c>
      <c r="O337" s="19"/>
      <c r="P337" s="18"/>
    </row>
    <row r="338" spans="1:16" s="20" customFormat="1" ht="45" customHeight="1" x14ac:dyDescent="0.2">
      <c r="A338" s="24"/>
      <c r="B338" s="15" t="str">
        <f>IF(الجدول336112[[#This Row],[اسم المسلّم]]="","",ROW()-8)</f>
        <v/>
      </c>
      <c r="C338" s="16"/>
      <c r="D338" s="17" t="s">
        <v>335</v>
      </c>
      <c r="E338" s="16" t="s">
        <v>312</v>
      </c>
      <c r="F338" s="16" t="s">
        <v>505</v>
      </c>
      <c r="G338" s="16" t="s">
        <v>743</v>
      </c>
      <c r="H338" s="16">
        <v>100000</v>
      </c>
      <c r="I338" s="16">
        <v>1.9259999999999999E-2</v>
      </c>
      <c r="J338" s="16">
        <f>الجدول336112[[#This Row],[إفرادي القطعة الواحدة]]*0.2397184</f>
        <v>4.6169763839999994E-3</v>
      </c>
      <c r="K338" s="16">
        <f>الجدول336112[[#This Row],[إفرادي القطعة الواحدة]]+الجدول336112[[#This Row],[أجور الشحن للقطعة الواحدة]]</f>
        <v>2.3876976384E-2</v>
      </c>
      <c r="L338" s="16">
        <f>الجدول336112[[#This Row],[العدد]]*الجدول336112[[#This Row],[إجمالي تكلفة القطعة الواحدة]]</f>
        <v>2387.6976384</v>
      </c>
      <c r="M338" s="16" t="s">
        <v>5</v>
      </c>
      <c r="N338" s="18">
        <v>37</v>
      </c>
      <c r="O338" s="19"/>
      <c r="P338" s="18"/>
    </row>
    <row r="339" spans="1:16" s="20" customFormat="1" ht="45" customHeight="1" x14ac:dyDescent="0.2">
      <c r="A339" s="24"/>
      <c r="B339" s="15" t="str">
        <f>IF(الجدول336112[[#This Row],[اسم المسلّم]]="","",ROW()-8)</f>
        <v/>
      </c>
      <c r="C339" s="16"/>
      <c r="D339" s="17" t="s">
        <v>335</v>
      </c>
      <c r="E339" s="16" t="s">
        <v>312</v>
      </c>
      <c r="F339" s="16" t="s">
        <v>506</v>
      </c>
      <c r="G339" s="16" t="s">
        <v>743</v>
      </c>
      <c r="H339" s="16">
        <v>100000</v>
      </c>
      <c r="I339" s="16">
        <v>1.5559999999999999E-2</v>
      </c>
      <c r="J339" s="16">
        <f>الجدول336112[[#This Row],[إفرادي القطعة الواحدة]]*0.2397184</f>
        <v>3.730018304E-3</v>
      </c>
      <c r="K339" s="16">
        <f>الجدول336112[[#This Row],[إفرادي القطعة الواحدة]]+الجدول336112[[#This Row],[أجور الشحن للقطعة الواحدة]]</f>
        <v>1.9290018303999998E-2</v>
      </c>
      <c r="L339" s="16">
        <f>الجدول336112[[#This Row],[العدد]]*الجدول336112[[#This Row],[إجمالي تكلفة القطعة الواحدة]]</f>
        <v>1929.0018303999998</v>
      </c>
      <c r="M339" s="16" t="s">
        <v>5</v>
      </c>
      <c r="N339" s="18">
        <v>36</v>
      </c>
      <c r="O339" s="19"/>
      <c r="P339" s="18"/>
    </row>
    <row r="340" spans="1:16" s="20" customFormat="1" ht="45" customHeight="1" x14ac:dyDescent="0.2">
      <c r="A340" s="24"/>
      <c r="B340" s="15" t="str">
        <f>IF(الجدول336112[[#This Row],[اسم المسلّم]]="","",ROW()-8)</f>
        <v/>
      </c>
      <c r="C340" s="16"/>
      <c r="D340" s="17" t="s">
        <v>335</v>
      </c>
      <c r="E340" s="16" t="s">
        <v>312</v>
      </c>
      <c r="F340" s="16" t="s">
        <v>749</v>
      </c>
      <c r="G340" s="16" t="s">
        <v>743</v>
      </c>
      <c r="H340" s="16">
        <v>60478</v>
      </c>
      <c r="I340" s="16">
        <v>0.54666999999999999</v>
      </c>
      <c r="J340" s="16">
        <f>الجدول336112[[#This Row],[إفرادي القطعة الواحدة]]*0.2397184</f>
        <v>0.13104685772800001</v>
      </c>
      <c r="K340" s="16">
        <f>الجدول336112[[#This Row],[إفرادي القطعة الواحدة]]+الجدول336112[[#This Row],[أجور الشحن للقطعة الواحدة]]</f>
        <v>0.67771685772799994</v>
      </c>
      <c r="L340" s="16">
        <f>الجدول336112[[#This Row],[العدد]]*الجدول336112[[#This Row],[إجمالي تكلفة القطعة الواحدة]]</f>
        <v>40986.960121673983</v>
      </c>
      <c r="M340" s="16" t="s">
        <v>5</v>
      </c>
      <c r="N340" s="18">
        <v>0</v>
      </c>
      <c r="O340" s="19"/>
      <c r="P340" s="18"/>
    </row>
    <row r="341" spans="1:16" s="20" customFormat="1" ht="45" customHeight="1" x14ac:dyDescent="0.2">
      <c r="A341" s="24"/>
      <c r="B341" s="15" t="str">
        <f>IF(الجدول336112[[#This Row],[اسم المسلّم]]="","",ROW()-8)</f>
        <v/>
      </c>
      <c r="C341" s="16"/>
      <c r="D341" s="17" t="s">
        <v>335</v>
      </c>
      <c r="E341" s="16" t="s">
        <v>312</v>
      </c>
      <c r="F341" s="16" t="s">
        <v>750</v>
      </c>
      <c r="G341" s="16" t="s">
        <v>743</v>
      </c>
      <c r="H341" s="16">
        <v>23429</v>
      </c>
      <c r="I341" s="16">
        <v>0.30370000000000003</v>
      </c>
      <c r="J341" s="16">
        <f>الجدول336112[[#This Row],[إفرادي القطعة الواحدة]]*0.2397184</f>
        <v>7.280247808000001E-2</v>
      </c>
      <c r="K341" s="16">
        <f>الجدول336112[[#This Row],[إفرادي القطعة الواحدة]]+الجدول336112[[#This Row],[أجور الشحن للقطعة الواحدة]]</f>
        <v>0.37650247808000004</v>
      </c>
      <c r="L341" s="16">
        <f>الجدول336112[[#This Row],[العدد]]*الجدول336112[[#This Row],[إجمالي تكلفة القطعة الواحدة]]</f>
        <v>8821.07655893632</v>
      </c>
      <c r="M341" s="16" t="s">
        <v>5</v>
      </c>
      <c r="N341" s="18">
        <v>0</v>
      </c>
      <c r="O341" s="19"/>
      <c r="P341" s="18"/>
    </row>
    <row r="342" spans="1:16" s="20" customFormat="1" ht="45" customHeight="1" x14ac:dyDescent="0.2">
      <c r="A342" s="24"/>
      <c r="B342" s="15" t="str">
        <f>IF(الجدول336112[[#This Row],[اسم المسلّم]]="","",ROW()-8)</f>
        <v/>
      </c>
      <c r="C342" s="16"/>
      <c r="D342" s="17" t="s">
        <v>335</v>
      </c>
      <c r="E342" s="16" t="s">
        <v>312</v>
      </c>
      <c r="F342" s="16" t="s">
        <v>275</v>
      </c>
      <c r="G342" s="16" t="s">
        <v>743</v>
      </c>
      <c r="H342" s="16">
        <v>21839</v>
      </c>
      <c r="I342" s="16">
        <v>0.24889</v>
      </c>
      <c r="J342" s="16">
        <f>الجدول336112[[#This Row],[إفرادي القطعة الواحدة]]*0.2397184</f>
        <v>5.9663512576E-2</v>
      </c>
      <c r="K342" s="16">
        <f>الجدول336112[[#This Row],[إفرادي القطعة الواحدة]]+الجدول336112[[#This Row],[أجور الشحن للقطعة الواحدة]]</f>
        <v>0.308553512576</v>
      </c>
      <c r="L342" s="16">
        <f>الجدول336112[[#This Row],[العدد]]*الجدول336112[[#This Row],[إجمالي تكلفة القطعة الواحدة]]</f>
        <v>6738.5001611472644</v>
      </c>
      <c r="M342" s="16" t="s">
        <v>5</v>
      </c>
      <c r="N342" s="18">
        <v>0</v>
      </c>
      <c r="O342" s="19"/>
      <c r="P342" s="18"/>
    </row>
    <row r="343" spans="1:16" s="20" customFormat="1" ht="45" customHeight="1" x14ac:dyDescent="0.2">
      <c r="A343" s="24"/>
      <c r="B343" s="15" t="str">
        <f>IF(الجدول336112[[#This Row],[اسم المسلّم]]="","",ROW()-8)</f>
        <v/>
      </c>
      <c r="C343" s="16"/>
      <c r="D343" s="17" t="s">
        <v>335</v>
      </c>
      <c r="E343" s="16" t="s">
        <v>312</v>
      </c>
      <c r="F343" s="16" t="s">
        <v>274</v>
      </c>
      <c r="G343" s="16" t="s">
        <v>743</v>
      </c>
      <c r="H343" s="16">
        <v>14111</v>
      </c>
      <c r="I343" s="16">
        <v>0.25778000000000001</v>
      </c>
      <c r="J343" s="16">
        <f>الجدول336112[[#This Row],[إفرادي القطعة الواحدة]]*0.2397184</f>
        <v>6.1794609152000003E-2</v>
      </c>
      <c r="K343" s="16">
        <f>الجدول336112[[#This Row],[إفرادي القطعة الواحدة]]+الجدول336112[[#This Row],[أجور الشحن للقطعة الواحدة]]</f>
        <v>0.31957460915200003</v>
      </c>
      <c r="L343" s="16">
        <f>الجدول336112[[#This Row],[العدد]]*الجدول336112[[#This Row],[إجمالي تكلفة القطعة الواحدة]]</f>
        <v>4509.5173097438728</v>
      </c>
      <c r="M343" s="16" t="s">
        <v>5</v>
      </c>
      <c r="N343" s="18">
        <v>0</v>
      </c>
      <c r="O343" s="19"/>
      <c r="P343" s="18"/>
    </row>
    <row r="344" spans="1:16" s="20" customFormat="1" ht="45" customHeight="1" x14ac:dyDescent="0.2">
      <c r="A344" s="24"/>
      <c r="B344" s="15" t="str">
        <f>IF(الجدول336112[[#This Row],[اسم المسلّم]]="","",ROW()-8)</f>
        <v/>
      </c>
      <c r="C344" s="16"/>
      <c r="D344" s="17" t="s">
        <v>335</v>
      </c>
      <c r="E344" s="16" t="s">
        <v>312</v>
      </c>
      <c r="F344" s="16" t="s">
        <v>744</v>
      </c>
      <c r="G344" s="16" t="s">
        <v>743</v>
      </c>
      <c r="H344" s="16">
        <v>1940</v>
      </c>
      <c r="I344" s="16">
        <v>0.01</v>
      </c>
      <c r="J344" s="16">
        <f>الجدول336112[[#This Row],[إفرادي القطعة الواحدة]]*0.2397184</f>
        <v>2.3971840000000001E-3</v>
      </c>
      <c r="K344" s="16">
        <f>الجدول336112[[#This Row],[إفرادي القطعة الواحدة]]+الجدول336112[[#This Row],[أجور الشحن للقطعة الواحدة]]</f>
        <v>1.2397184E-2</v>
      </c>
      <c r="L344" s="16">
        <f>الجدول336112[[#This Row],[العدد]]*الجدول336112[[#This Row],[إجمالي تكلفة القطعة الواحدة]]</f>
        <v>24.050536960000002</v>
      </c>
      <c r="M344" s="16" t="s">
        <v>5</v>
      </c>
      <c r="N344" s="18">
        <v>0</v>
      </c>
      <c r="O344" s="19"/>
      <c r="P344" s="18"/>
    </row>
    <row r="345" spans="1:16" s="20" customFormat="1" ht="45" customHeight="1" x14ac:dyDescent="0.2">
      <c r="A345" s="24"/>
      <c r="B345" s="15" t="str">
        <f>IF(الجدول336112[[#This Row],[اسم المسلّم]]="","",ROW()-8)</f>
        <v/>
      </c>
      <c r="C345" s="16"/>
      <c r="D345" s="17" t="s">
        <v>335</v>
      </c>
      <c r="E345" s="16" t="s">
        <v>312</v>
      </c>
      <c r="F345" s="16" t="s">
        <v>745</v>
      </c>
      <c r="G345" s="16" t="s">
        <v>743</v>
      </c>
      <c r="H345" s="16">
        <v>2274</v>
      </c>
      <c r="I345" s="16">
        <v>1.25</v>
      </c>
      <c r="J345" s="16">
        <f>الجدول336112[[#This Row],[إفرادي القطعة الواحدة]]*0.2397184</f>
        <v>0.29964800000000003</v>
      </c>
      <c r="K345" s="16">
        <f>الجدول336112[[#This Row],[إفرادي القطعة الواحدة]]+الجدول336112[[#This Row],[أجور الشحن للقطعة الواحدة]]</f>
        <v>1.5496479999999999</v>
      </c>
      <c r="L345" s="16">
        <f>الجدول336112[[#This Row],[العدد]]*الجدول336112[[#This Row],[إجمالي تكلفة القطعة الواحدة]]</f>
        <v>3523.8995519999999</v>
      </c>
      <c r="M345" s="16" t="s">
        <v>5</v>
      </c>
      <c r="N345" s="18">
        <v>0</v>
      </c>
      <c r="O345" s="19"/>
      <c r="P345" s="18"/>
    </row>
    <row r="346" spans="1:16" s="20" customFormat="1" ht="45" customHeight="1" x14ac:dyDescent="0.2">
      <c r="A346" s="24"/>
      <c r="B346" s="15" t="str">
        <f>IF(الجدول336112[[#This Row],[اسم المسلّم]]="","",ROW()-8)</f>
        <v/>
      </c>
      <c r="C346" s="16"/>
      <c r="D346" s="17" t="s">
        <v>335</v>
      </c>
      <c r="E346" s="16" t="s">
        <v>312</v>
      </c>
      <c r="F346" s="16" t="s">
        <v>746</v>
      </c>
      <c r="G346" s="16" t="s">
        <v>743</v>
      </c>
      <c r="H346" s="16">
        <v>742</v>
      </c>
      <c r="I346" s="16">
        <v>3.9</v>
      </c>
      <c r="J346" s="16">
        <f>الجدول336112[[#This Row],[إفرادي القطعة الواحدة]]*0.2397184</f>
        <v>0.93490176000000003</v>
      </c>
      <c r="K346" s="16">
        <f>الجدول336112[[#This Row],[إفرادي القطعة الواحدة]]+الجدول336112[[#This Row],[أجور الشحن للقطعة الواحدة]]</f>
        <v>4.8349017600000002</v>
      </c>
      <c r="L346" s="16">
        <f>الجدول336112[[#This Row],[العدد]]*الجدول336112[[#This Row],[إجمالي تكلفة القطعة الواحدة]]</f>
        <v>3587.4971059200002</v>
      </c>
      <c r="M346" s="16" t="s">
        <v>5</v>
      </c>
      <c r="N346" s="18">
        <v>0</v>
      </c>
      <c r="O346" s="19"/>
      <c r="P346" s="18"/>
    </row>
    <row r="347" spans="1:16" s="20" customFormat="1" ht="45" customHeight="1" x14ac:dyDescent="0.2">
      <c r="A347" s="24"/>
      <c r="B347" s="15" t="str">
        <f>IF(الجدول336112[[#This Row],[اسم المسلّم]]="","",ROW()-8)</f>
        <v/>
      </c>
      <c r="C347" s="16"/>
      <c r="D347" s="17" t="s">
        <v>335</v>
      </c>
      <c r="E347" s="16" t="s">
        <v>312</v>
      </c>
      <c r="F347" s="16" t="s">
        <v>747</v>
      </c>
      <c r="G347" s="16" t="s">
        <v>743</v>
      </c>
      <c r="H347" s="16">
        <v>668</v>
      </c>
      <c r="I347" s="16">
        <v>8.5</v>
      </c>
      <c r="J347" s="16">
        <f>الجدول336112[[#This Row],[إفرادي القطعة الواحدة]]*0.2397184</f>
        <v>2.0376064</v>
      </c>
      <c r="K347" s="16">
        <f>الجدول336112[[#This Row],[إفرادي القطعة الواحدة]]+الجدول336112[[#This Row],[أجور الشحن للقطعة الواحدة]]</f>
        <v>10.5376064</v>
      </c>
      <c r="L347" s="16">
        <f>الجدول336112[[#This Row],[العدد]]*الجدول336112[[#This Row],[إجمالي تكلفة القطعة الواحدة]]</f>
        <v>7039.1210751999997</v>
      </c>
      <c r="M347" s="16" t="s">
        <v>5</v>
      </c>
      <c r="N347" s="18">
        <v>0</v>
      </c>
      <c r="O347" s="19"/>
      <c r="P347" s="18"/>
    </row>
    <row r="348" spans="1:16" s="20" customFormat="1" ht="45" customHeight="1" x14ac:dyDescent="0.2">
      <c r="A348" s="24"/>
      <c r="B348" s="15" t="str">
        <f>IF(الجدول336112[[#This Row],[اسم المسلّم]]="","",ROW()-8)</f>
        <v/>
      </c>
      <c r="C348" s="16"/>
      <c r="D348" s="17" t="s">
        <v>507</v>
      </c>
      <c r="E348" s="16" t="s">
        <v>311</v>
      </c>
      <c r="F348" s="16" t="s">
        <v>263</v>
      </c>
      <c r="G348" s="16" t="s">
        <v>341</v>
      </c>
      <c r="H348" s="16">
        <v>790</v>
      </c>
      <c r="I348" s="16">
        <v>0.1</v>
      </c>
      <c r="J348" s="16">
        <f>الجدول336112[[#This Row],[إفرادي القطعة الواحدة]]*0.2397184</f>
        <v>2.3971840000000001E-2</v>
      </c>
      <c r="K348" s="16">
        <f>الجدول336112[[#This Row],[إفرادي القطعة الواحدة]]+الجدول336112[[#This Row],[أجور الشحن للقطعة الواحدة]]</f>
        <v>0.12397184</v>
      </c>
      <c r="L348" s="16">
        <f>الجدول336112[[#This Row],[العدد]]*الجدول336112[[#This Row],[إجمالي تكلفة القطعة الواحدة]]</f>
        <v>97.937753599999994</v>
      </c>
      <c r="M348" s="16" t="s">
        <v>5</v>
      </c>
      <c r="N348" s="18">
        <v>0</v>
      </c>
      <c r="O348" s="19"/>
      <c r="P348" s="18"/>
    </row>
    <row r="349" spans="1:16" s="20" customFormat="1" ht="45" customHeight="1" x14ac:dyDescent="0.2">
      <c r="A349" s="24"/>
      <c r="B349" s="15" t="str">
        <f>IF(الجدول336112[[#This Row],[اسم المسلّم]]="","",ROW()-8)</f>
        <v/>
      </c>
      <c r="C349" s="16"/>
      <c r="D349" s="17" t="s">
        <v>509</v>
      </c>
      <c r="E349" s="16" t="s">
        <v>508</v>
      </c>
      <c r="F349" s="16" t="s">
        <v>20</v>
      </c>
      <c r="G349" s="16" t="s">
        <v>341</v>
      </c>
      <c r="H349" s="16">
        <v>1</v>
      </c>
      <c r="I349" s="16">
        <v>275.49</v>
      </c>
      <c r="J349" s="16">
        <f>الجدول336112[[#This Row],[إفرادي القطعة الواحدة]]*0.2397184</f>
        <v>66.040022015999995</v>
      </c>
      <c r="K349" s="16">
        <f>الجدول336112[[#This Row],[إفرادي القطعة الواحدة]]+الجدول336112[[#This Row],[أجور الشحن للقطعة الواحدة]]</f>
        <v>341.53002201599998</v>
      </c>
      <c r="L349" s="16">
        <f>الجدول336112[[#This Row],[العدد]]*الجدول336112[[#This Row],[إجمالي تكلفة القطعة الواحدة]]</f>
        <v>341.53002201599998</v>
      </c>
      <c r="M349" s="16" t="s">
        <v>5</v>
      </c>
      <c r="N349" s="18">
        <v>7</v>
      </c>
      <c r="O349" s="19"/>
      <c r="P349" s="18"/>
    </row>
    <row r="350" spans="1:16" s="20" customFormat="1" ht="45" customHeight="1" x14ac:dyDescent="0.2">
      <c r="A350" s="24"/>
      <c r="B350" s="15" t="str">
        <f>IF(الجدول336112[[#This Row],[اسم المسلّم]]="","",ROW()-8)</f>
        <v/>
      </c>
      <c r="C350" s="16"/>
      <c r="D350" s="17" t="s">
        <v>321</v>
      </c>
      <c r="E350" s="16" t="s">
        <v>298</v>
      </c>
      <c r="F350" s="16" t="s">
        <v>510</v>
      </c>
      <c r="G350" s="16" t="s">
        <v>341</v>
      </c>
      <c r="H350" s="16">
        <v>4950</v>
      </c>
      <c r="I350" s="16">
        <v>0.04</v>
      </c>
      <c r="J350" s="16">
        <f>الجدول336112[[#This Row],[إفرادي القطعة الواحدة]]*0.2397184</f>
        <v>9.5887360000000005E-3</v>
      </c>
      <c r="K350" s="16">
        <f>الجدول336112[[#This Row],[إفرادي القطعة الواحدة]]+الجدول336112[[#This Row],[أجور الشحن للقطعة الواحدة]]</f>
        <v>4.9588736000000001E-2</v>
      </c>
      <c r="L350" s="16">
        <f>الجدول336112[[#This Row],[العدد]]*الجدول336112[[#This Row],[إجمالي تكلفة القطعة الواحدة]]</f>
        <v>245.4642432</v>
      </c>
      <c r="M350" s="16" t="s">
        <v>5</v>
      </c>
      <c r="N350" s="18">
        <v>33</v>
      </c>
      <c r="O350" s="19"/>
      <c r="P350" s="18"/>
    </row>
    <row r="351" spans="1:16" s="20" customFormat="1" ht="45" customHeight="1" x14ac:dyDescent="0.2">
      <c r="A351" s="24"/>
      <c r="B351" s="15" t="str">
        <f>IF(الجدول336112[[#This Row],[اسم المسلّم]]="","",ROW()-8)</f>
        <v/>
      </c>
      <c r="C351" s="16"/>
      <c r="D351" s="17" t="s">
        <v>512</v>
      </c>
      <c r="E351" s="16" t="s">
        <v>511</v>
      </c>
      <c r="F351" s="16" t="s">
        <v>36</v>
      </c>
      <c r="G351" s="16" t="s">
        <v>341</v>
      </c>
      <c r="H351" s="16">
        <v>2</v>
      </c>
      <c r="I351" s="16">
        <v>0.91</v>
      </c>
      <c r="J351" s="16">
        <f>الجدول336112[[#This Row],[إفرادي القطعة الواحدة]]*0.2397184</f>
        <v>0.218143744</v>
      </c>
      <c r="K351" s="16">
        <f>الجدول336112[[#This Row],[إفرادي القطعة الواحدة]]+الجدول336112[[#This Row],[أجور الشحن للقطعة الواحدة]]</f>
        <v>1.1281437439999999</v>
      </c>
      <c r="L351" s="16">
        <f>الجدول336112[[#This Row],[العدد]]*الجدول336112[[#This Row],[إجمالي تكلفة القطعة الواحدة]]</f>
        <v>2.2562874879999999</v>
      </c>
      <c r="M351" s="16" t="s">
        <v>5</v>
      </c>
      <c r="N351" s="18">
        <v>27</v>
      </c>
      <c r="O351" s="19"/>
      <c r="P351" s="18"/>
    </row>
    <row r="352" spans="1:16" s="20" customFormat="1" ht="45" customHeight="1" x14ac:dyDescent="0.2">
      <c r="A352" s="24"/>
      <c r="B352" s="15" t="str">
        <f>IF(الجدول336112[[#This Row],[اسم المسلّم]]="","",ROW()-8)</f>
        <v/>
      </c>
      <c r="C352" s="16"/>
      <c r="D352" s="17" t="s">
        <v>354</v>
      </c>
      <c r="E352" s="16" t="s">
        <v>355</v>
      </c>
      <c r="F352" s="16" t="s">
        <v>49</v>
      </c>
      <c r="G352" s="16" t="s">
        <v>341</v>
      </c>
      <c r="H352" s="16">
        <v>1</v>
      </c>
      <c r="I352" s="16">
        <v>1.32</v>
      </c>
      <c r="J352" s="16">
        <f>الجدول336112[[#This Row],[إفرادي القطعة الواحدة]]*0.2397184</f>
        <v>0.316428288</v>
      </c>
      <c r="K352" s="16">
        <f>الجدول336112[[#This Row],[إفرادي القطعة الواحدة]]+الجدول336112[[#This Row],[أجور الشحن للقطعة الواحدة]]</f>
        <v>1.6364282880000001</v>
      </c>
      <c r="L352" s="16">
        <f>الجدول336112[[#This Row],[العدد]]*الجدول336112[[#This Row],[إجمالي تكلفة القطعة الواحدة]]</f>
        <v>1.6364282880000001</v>
      </c>
      <c r="M352" s="16" t="s">
        <v>5</v>
      </c>
      <c r="N352" s="18">
        <v>27</v>
      </c>
      <c r="O352" s="19"/>
      <c r="P352" s="18"/>
    </row>
    <row r="353" spans="1:16" s="20" customFormat="1" ht="45" customHeight="1" x14ac:dyDescent="0.2">
      <c r="A353" s="24"/>
      <c r="B353" s="15" t="str">
        <f>IF(الجدول336112[[#This Row],[اسم المسلّم]]="","",ROW()-8)</f>
        <v/>
      </c>
      <c r="C353" s="16"/>
      <c r="D353" s="17" t="s">
        <v>514</v>
      </c>
      <c r="E353" s="16" t="s">
        <v>513</v>
      </c>
      <c r="F353" s="16" t="s">
        <v>25</v>
      </c>
      <c r="G353" s="16" t="s">
        <v>341</v>
      </c>
      <c r="H353" s="16">
        <v>2</v>
      </c>
      <c r="I353" s="16">
        <v>39.090000000000003</v>
      </c>
      <c r="J353" s="16">
        <f>الجدول336112[[#This Row],[إفرادي القطعة الواحدة]]*0.2397184</f>
        <v>9.3705922560000001</v>
      </c>
      <c r="K353" s="16">
        <f>الجدول336112[[#This Row],[إفرادي القطعة الواحدة]]+الجدول336112[[#This Row],[أجور الشحن للقطعة الواحدة]]</f>
        <v>48.460592256000005</v>
      </c>
      <c r="L353" s="16">
        <f>الجدول336112[[#This Row],[العدد]]*الجدول336112[[#This Row],[إجمالي تكلفة القطعة الواحدة]]</f>
        <v>96.921184512000011</v>
      </c>
      <c r="M353" s="16" t="s">
        <v>5</v>
      </c>
      <c r="N353" s="18">
        <v>27</v>
      </c>
      <c r="O353" s="19"/>
      <c r="P353" s="18"/>
    </row>
    <row r="354" spans="1:16" s="20" customFormat="1" ht="45" customHeight="1" x14ac:dyDescent="0.2">
      <c r="A354" s="24"/>
      <c r="B354" s="15" t="str">
        <f>IF(الجدول336112[[#This Row],[اسم المسلّم]]="","",ROW()-8)</f>
        <v/>
      </c>
      <c r="C354" s="16"/>
      <c r="D354" s="17" t="s">
        <v>515</v>
      </c>
      <c r="E354" s="16" t="s">
        <v>311</v>
      </c>
      <c r="F354" s="16" t="s">
        <v>249</v>
      </c>
      <c r="G354" s="16" t="s">
        <v>341</v>
      </c>
      <c r="H354" s="16">
        <v>2</v>
      </c>
      <c r="I354" s="16">
        <v>1</v>
      </c>
      <c r="J354" s="16">
        <f>الجدول336112[[#This Row],[إفرادي القطعة الواحدة]]*0.2397184</f>
        <v>0.2397184</v>
      </c>
      <c r="K354" s="16">
        <f>الجدول336112[[#This Row],[إفرادي القطعة الواحدة]]+الجدول336112[[#This Row],[أجور الشحن للقطعة الواحدة]]</f>
        <v>1.2397184000000001</v>
      </c>
      <c r="L354" s="16">
        <f>الجدول336112[[#This Row],[العدد]]*الجدول336112[[#This Row],[إجمالي تكلفة القطعة الواحدة]]</f>
        <v>2.4794368000000002</v>
      </c>
      <c r="M354" s="16" t="s">
        <v>5</v>
      </c>
      <c r="N354" s="18">
        <v>27</v>
      </c>
      <c r="O354" s="19"/>
      <c r="P354" s="18"/>
    </row>
    <row r="355" spans="1:16" s="20" customFormat="1" ht="45" customHeight="1" x14ac:dyDescent="0.2">
      <c r="A355" s="24"/>
      <c r="B355" s="15" t="str">
        <f>IF(الجدول336112[[#This Row],[اسم المسلّم]]="","",ROW()-8)</f>
        <v/>
      </c>
      <c r="C355" s="16"/>
      <c r="D355" s="17" t="s">
        <v>516</v>
      </c>
      <c r="E355" s="16" t="s">
        <v>497</v>
      </c>
      <c r="F355" s="16" t="s">
        <v>751</v>
      </c>
      <c r="G355" s="16" t="s">
        <v>341</v>
      </c>
      <c r="H355" s="16">
        <v>47</v>
      </c>
      <c r="I355" s="16">
        <v>8.76</v>
      </c>
      <c r="J355" s="16">
        <f>الجدول336112[[#This Row],[إفرادي القطعة الواحدة]]*0.2397184</f>
        <v>2.0999331839999997</v>
      </c>
      <c r="K355" s="16">
        <f>الجدول336112[[#This Row],[إفرادي القطعة الواحدة]]+الجدول336112[[#This Row],[أجور الشحن للقطعة الواحدة]]</f>
        <v>10.859933183999999</v>
      </c>
      <c r="L355" s="16">
        <f>الجدول336112[[#This Row],[العدد]]*الجدول336112[[#This Row],[إجمالي تكلفة القطعة الواحدة]]</f>
        <v>510.41685964799996</v>
      </c>
      <c r="M355" s="16" t="s">
        <v>5</v>
      </c>
      <c r="N355" s="18">
        <v>14</v>
      </c>
      <c r="O355" s="19"/>
      <c r="P355" s="18"/>
    </row>
    <row r="356" spans="1:16" s="20" customFormat="1" ht="45" customHeight="1" x14ac:dyDescent="0.2">
      <c r="A356" s="24"/>
      <c r="B356" s="15" t="str">
        <f>IF(الجدول336112[[#This Row],[اسم المسلّم]]="","",ROW()-8)</f>
        <v/>
      </c>
      <c r="C356" s="16"/>
      <c r="D356" s="17" t="s">
        <v>320</v>
      </c>
      <c r="E356" s="16" t="s">
        <v>297</v>
      </c>
      <c r="F356" s="16" t="s">
        <v>185</v>
      </c>
      <c r="G356" s="16" t="s">
        <v>341</v>
      </c>
      <c r="H356" s="16">
        <v>5</v>
      </c>
      <c r="I356" s="16">
        <v>85</v>
      </c>
      <c r="J356" s="16">
        <f>الجدول336112[[#This Row],[إفرادي القطعة الواحدة]]*0.2397184</f>
        <v>20.376064</v>
      </c>
      <c r="K356" s="16">
        <f>الجدول336112[[#This Row],[إفرادي القطعة الواحدة]]+الجدول336112[[#This Row],[أجور الشحن للقطعة الواحدة]]</f>
        <v>105.376064</v>
      </c>
      <c r="L356" s="16">
        <f>الجدول336112[[#This Row],[العدد]]*الجدول336112[[#This Row],[إجمالي تكلفة القطعة الواحدة]]</f>
        <v>526.88031999999998</v>
      </c>
      <c r="M356" s="16" t="s">
        <v>5</v>
      </c>
      <c r="N356" s="18">
        <v>12</v>
      </c>
      <c r="O356" s="19"/>
      <c r="P356" s="18"/>
    </row>
    <row r="357" spans="1:16" s="20" customFormat="1" ht="45" customHeight="1" x14ac:dyDescent="0.2">
      <c r="A357" s="24"/>
      <c r="B357" s="15" t="str">
        <f>IF(الجدول336112[[#This Row],[اسم المسلّم]]="","",ROW()-8)</f>
        <v/>
      </c>
      <c r="C357" s="16"/>
      <c r="D357" s="17" t="s">
        <v>320</v>
      </c>
      <c r="E357" s="16" t="s">
        <v>297</v>
      </c>
      <c r="F357" s="16" t="s">
        <v>187</v>
      </c>
      <c r="G357" s="16" t="s">
        <v>341</v>
      </c>
      <c r="H357" s="16">
        <v>1</v>
      </c>
      <c r="I357" s="16">
        <v>41.67</v>
      </c>
      <c r="J357" s="16">
        <f>الجدول336112[[#This Row],[إفرادي القطعة الواحدة]]*0.2397184</f>
        <v>9.9890657279999999</v>
      </c>
      <c r="K357" s="16">
        <f>الجدول336112[[#This Row],[إفرادي القطعة الواحدة]]+الجدول336112[[#This Row],[أجور الشحن للقطعة الواحدة]]</f>
        <v>51.659065728000002</v>
      </c>
      <c r="L357" s="16">
        <f>الجدول336112[[#This Row],[العدد]]*الجدول336112[[#This Row],[إجمالي تكلفة القطعة الواحدة]]</f>
        <v>51.659065728000002</v>
      </c>
      <c r="M357" s="16" t="s">
        <v>5</v>
      </c>
      <c r="N357" s="18">
        <v>12</v>
      </c>
      <c r="O357" s="19"/>
      <c r="P357" s="18"/>
    </row>
    <row r="358" spans="1:16" s="20" customFormat="1" ht="45" customHeight="1" x14ac:dyDescent="0.2">
      <c r="A358" s="24"/>
      <c r="B358" s="15" t="str">
        <f>IF(الجدول336112[[#This Row],[اسم المسلّم]]="","",ROW()-8)</f>
        <v/>
      </c>
      <c r="C358" s="16"/>
      <c r="D358" s="17" t="s">
        <v>320</v>
      </c>
      <c r="E358" s="16" t="s">
        <v>297</v>
      </c>
      <c r="F358" s="16" t="s">
        <v>188</v>
      </c>
      <c r="G358" s="16" t="s">
        <v>341</v>
      </c>
      <c r="H358" s="16">
        <v>3</v>
      </c>
      <c r="I358" s="16">
        <v>10.83</v>
      </c>
      <c r="J358" s="16">
        <f>الجدول336112[[#This Row],[إفرادي القطعة الواحدة]]*0.2397184</f>
        <v>2.596150272</v>
      </c>
      <c r="K358" s="16">
        <f>الجدول336112[[#This Row],[إفرادي القطعة الواحدة]]+الجدول336112[[#This Row],[أجور الشحن للقطعة الواحدة]]</f>
        <v>13.426150272000001</v>
      </c>
      <c r="L358" s="16">
        <f>الجدول336112[[#This Row],[العدد]]*الجدول336112[[#This Row],[إجمالي تكلفة القطعة الواحدة]]</f>
        <v>40.278450816000003</v>
      </c>
      <c r="M358" s="16" t="s">
        <v>5</v>
      </c>
      <c r="N358" s="18">
        <v>12</v>
      </c>
      <c r="O358" s="19"/>
      <c r="P358" s="18"/>
    </row>
    <row r="359" spans="1:16" s="20" customFormat="1" ht="45" customHeight="1" x14ac:dyDescent="0.2">
      <c r="A359" s="24"/>
      <c r="B359" s="15" t="str">
        <f>IF(الجدول336112[[#This Row],[اسم المسلّم]]="","",ROW()-8)</f>
        <v/>
      </c>
      <c r="C359" s="16"/>
      <c r="D359" s="17" t="s">
        <v>320</v>
      </c>
      <c r="E359" s="16" t="s">
        <v>297</v>
      </c>
      <c r="F359" s="16" t="s">
        <v>517</v>
      </c>
      <c r="G359" s="16" t="s">
        <v>341</v>
      </c>
      <c r="H359" s="16">
        <v>21</v>
      </c>
      <c r="I359" s="16">
        <v>25</v>
      </c>
      <c r="J359" s="16">
        <f>الجدول336112[[#This Row],[إفرادي القطعة الواحدة]]*0.2397184</f>
        <v>5.9929600000000001</v>
      </c>
      <c r="K359" s="16">
        <f>الجدول336112[[#This Row],[إفرادي القطعة الواحدة]]+الجدول336112[[#This Row],[أجور الشحن للقطعة الواحدة]]</f>
        <v>30.99296</v>
      </c>
      <c r="L359" s="16">
        <f>الجدول336112[[#This Row],[العدد]]*الجدول336112[[#This Row],[إجمالي تكلفة القطعة الواحدة]]</f>
        <v>650.85216000000003</v>
      </c>
      <c r="M359" s="16" t="s">
        <v>5</v>
      </c>
      <c r="N359" s="18">
        <v>12</v>
      </c>
      <c r="O359" s="19"/>
      <c r="P359" s="18"/>
    </row>
    <row r="360" spans="1:16" s="20" customFormat="1" ht="45" customHeight="1" x14ac:dyDescent="0.2">
      <c r="A360" s="24"/>
      <c r="B360" s="15" t="str">
        <f>IF(الجدول336112[[#This Row],[اسم المسلّم]]="","",ROW()-8)</f>
        <v/>
      </c>
      <c r="C360" s="16"/>
      <c r="D360" s="17" t="s">
        <v>519</v>
      </c>
      <c r="E360" s="16" t="s">
        <v>520</v>
      </c>
      <c r="F360" s="16" t="s">
        <v>23</v>
      </c>
      <c r="G360" s="16" t="s">
        <v>341</v>
      </c>
      <c r="H360" s="32">
        <v>10</v>
      </c>
      <c r="I360" s="32">
        <v>2.61</v>
      </c>
      <c r="J360" s="32">
        <f>الجدول336112[[#This Row],[إفرادي القطعة الواحدة]]*0.2397184</f>
        <v>0.62566502400000001</v>
      </c>
      <c r="K360" s="32">
        <f>الجدول336112[[#This Row],[إفرادي القطعة الواحدة]]+الجدول336112[[#This Row],[أجور الشحن للقطعة الواحدة]]</f>
        <v>3.2356650239999998</v>
      </c>
      <c r="L360" s="32">
        <f>الجدول336112[[#This Row],[العدد]]*الجدول336112[[#This Row],[إجمالي تكلفة القطعة الواحدة]]</f>
        <v>32.35665024</v>
      </c>
      <c r="M360" s="16" t="s">
        <v>5</v>
      </c>
      <c r="N360" s="18"/>
      <c r="O360" s="19"/>
      <c r="P360" s="18" t="s">
        <v>748</v>
      </c>
    </row>
    <row r="361" spans="1:16" s="20" customFormat="1" ht="45" customHeight="1" x14ac:dyDescent="0.2">
      <c r="A361" s="24"/>
      <c r="B361" s="15" t="str">
        <f>IF(الجدول336112[[#This Row],[اسم المسلّم]]="","",ROW()-8)</f>
        <v/>
      </c>
      <c r="C361" s="16"/>
      <c r="D361" s="17" t="s">
        <v>519</v>
      </c>
      <c r="E361" s="16" t="s">
        <v>520</v>
      </c>
      <c r="F361" s="16" t="s">
        <v>28</v>
      </c>
      <c r="G361" s="16" t="s">
        <v>341</v>
      </c>
      <c r="H361" s="16">
        <v>5</v>
      </c>
      <c r="I361" s="16">
        <v>4.41</v>
      </c>
      <c r="J361" s="16">
        <f>الجدول336112[[#This Row],[إفرادي القطعة الواحدة]]*0.2397184</f>
        <v>1.057158144</v>
      </c>
      <c r="K361" s="16">
        <f>الجدول336112[[#This Row],[إفرادي القطعة الواحدة]]+الجدول336112[[#This Row],[أجور الشحن للقطعة الواحدة]]</f>
        <v>5.4671581439999999</v>
      </c>
      <c r="L361" s="16">
        <f>الجدول336112[[#This Row],[العدد]]*الجدول336112[[#This Row],[إجمالي تكلفة القطعة الواحدة]]</f>
        <v>27.335790719999999</v>
      </c>
      <c r="M361" s="16" t="s">
        <v>5</v>
      </c>
      <c r="N361" s="18"/>
      <c r="O361" s="19"/>
      <c r="P361" s="18" t="s">
        <v>748</v>
      </c>
    </row>
    <row r="362" spans="1:16" s="20" customFormat="1" ht="45" customHeight="1" x14ac:dyDescent="0.2">
      <c r="A362" s="24"/>
      <c r="B362" s="15" t="str">
        <f>IF(الجدول336112[[#This Row],[اسم المسلّم]]="","",ROW()-8)</f>
        <v/>
      </c>
      <c r="C362" s="16"/>
      <c r="D362" s="17" t="s">
        <v>519</v>
      </c>
      <c r="E362" s="16" t="s">
        <v>520</v>
      </c>
      <c r="F362" s="16" t="s">
        <v>29</v>
      </c>
      <c r="G362" s="16" t="s">
        <v>341</v>
      </c>
      <c r="H362" s="16">
        <v>5</v>
      </c>
      <c r="I362" s="16">
        <v>2.94</v>
      </c>
      <c r="J362" s="16">
        <f>الجدول336112[[#This Row],[إفرادي القطعة الواحدة]]*0.2397184</f>
        <v>0.70477209600000001</v>
      </c>
      <c r="K362" s="16">
        <f>الجدول336112[[#This Row],[إفرادي القطعة الواحدة]]+الجدول336112[[#This Row],[أجور الشحن للقطعة الواحدة]]</f>
        <v>3.6447720960000001</v>
      </c>
      <c r="L362" s="16">
        <f>الجدول336112[[#This Row],[العدد]]*الجدول336112[[#This Row],[إجمالي تكلفة القطعة الواحدة]]</f>
        <v>18.223860479999999</v>
      </c>
      <c r="M362" s="16" t="s">
        <v>5</v>
      </c>
      <c r="N362" s="18"/>
      <c r="O362" s="19"/>
      <c r="P362" s="18" t="s">
        <v>748</v>
      </c>
    </row>
    <row r="363" spans="1:16" s="20" customFormat="1" ht="45" customHeight="1" x14ac:dyDescent="0.2">
      <c r="A363" s="24"/>
      <c r="B363" s="15" t="str">
        <f>IF(الجدول336112[[#This Row],[اسم المسلّم]]="","",ROW()-8)</f>
        <v/>
      </c>
      <c r="C363" s="16"/>
      <c r="D363" s="17" t="s">
        <v>713</v>
      </c>
      <c r="E363" s="16" t="s">
        <v>309</v>
      </c>
      <c r="F363" s="16" t="s">
        <v>241</v>
      </c>
      <c r="G363" s="16" t="s">
        <v>341</v>
      </c>
      <c r="H363" s="16">
        <v>3</v>
      </c>
      <c r="I363" s="16">
        <v>3566.67</v>
      </c>
      <c r="J363" s="16">
        <f>الجدول336112[[#This Row],[إفرادي القطعة الواحدة]]*0.2397184</f>
        <v>854.99642572799996</v>
      </c>
      <c r="K363" s="16">
        <f>الجدول336112[[#This Row],[إفرادي القطعة الواحدة]]+الجدول336112[[#This Row],[أجور الشحن للقطعة الواحدة]]</f>
        <v>4421.6664257279999</v>
      </c>
      <c r="L363" s="16">
        <f>الجدول336112[[#This Row],[العدد]]*الجدول336112[[#This Row],[إجمالي تكلفة القطعة الواحدة]]</f>
        <v>13264.999277184001</v>
      </c>
      <c r="M363" s="16" t="s">
        <v>5</v>
      </c>
      <c r="N363" s="18"/>
      <c r="O363" s="19"/>
      <c r="P363" s="18" t="s">
        <v>748</v>
      </c>
    </row>
    <row r="364" spans="1:16" s="20" customFormat="1" ht="45" customHeight="1" x14ac:dyDescent="0.2">
      <c r="A364" s="24"/>
      <c r="B364" s="15" t="str">
        <f>IF(الجدول336112[[#This Row],[اسم المسلّم]]="","",ROW()-8)</f>
        <v/>
      </c>
      <c r="C364" s="16"/>
      <c r="D364" s="17" t="s">
        <v>698</v>
      </c>
      <c r="E364" s="16" t="s">
        <v>699</v>
      </c>
      <c r="F364" s="16" t="s">
        <v>700</v>
      </c>
      <c r="G364" s="16" t="s">
        <v>341</v>
      </c>
      <c r="H364" s="16">
        <v>3</v>
      </c>
      <c r="I364" s="16">
        <v>115</v>
      </c>
      <c r="J364" s="16">
        <f>الجدول336112[[#This Row],[إفرادي القطعة الواحدة]]*0.2397184</f>
        <v>27.567616000000001</v>
      </c>
      <c r="K364" s="16">
        <f>الجدول336112[[#This Row],[إفرادي القطعة الواحدة]]+الجدول336112[[#This Row],[أجور الشحن للقطعة الواحدة]]</f>
        <v>142.56761599999999</v>
      </c>
      <c r="L364" s="16">
        <f>الجدول336112[[#This Row],[العدد]]*الجدول336112[[#This Row],[إجمالي تكلفة القطعة الواحدة]]</f>
        <v>427.70284799999996</v>
      </c>
      <c r="M364" s="16" t="s">
        <v>5</v>
      </c>
      <c r="N364" s="18"/>
      <c r="O364" s="19"/>
      <c r="P364" s="18" t="s">
        <v>748</v>
      </c>
    </row>
    <row r="365" spans="1:16" s="20" customFormat="1" ht="45" customHeight="1" x14ac:dyDescent="0.2">
      <c r="A365" s="24"/>
      <c r="B365" s="15" t="str">
        <f>IF(الجدول336112[[#This Row],[اسم المسلّم]]="","",ROW()-8)</f>
        <v/>
      </c>
      <c r="C365" s="16"/>
      <c r="D365" s="17" t="s">
        <v>704</v>
      </c>
      <c r="E365" s="16" t="s">
        <v>705</v>
      </c>
      <c r="F365" s="16" t="s">
        <v>706</v>
      </c>
      <c r="G365" s="16" t="s">
        <v>341</v>
      </c>
      <c r="H365" s="16">
        <v>3</v>
      </c>
      <c r="I365" s="16">
        <v>2500</v>
      </c>
      <c r="J365" s="16">
        <f>الجدول336112[[#This Row],[إفرادي القطعة الواحدة]]*0.2397184</f>
        <v>599.29600000000005</v>
      </c>
      <c r="K365" s="16">
        <f>الجدول336112[[#This Row],[إفرادي القطعة الواحدة]]+الجدول336112[[#This Row],[أجور الشحن للقطعة الواحدة]]</f>
        <v>3099.2960000000003</v>
      </c>
      <c r="L365" s="16">
        <f>الجدول336112[[#This Row],[العدد]]*الجدول336112[[#This Row],[إجمالي تكلفة القطعة الواحدة]]</f>
        <v>9297.8880000000008</v>
      </c>
      <c r="M365" s="16" t="s">
        <v>5</v>
      </c>
      <c r="N365" s="18"/>
      <c r="O365" s="19"/>
      <c r="P365" s="18" t="s">
        <v>755</v>
      </c>
    </row>
    <row r="366" spans="1:16" s="20" customFormat="1" ht="45" customHeight="1" x14ac:dyDescent="0.2">
      <c r="A366" s="24"/>
      <c r="B366" s="15" t="str">
        <f>IF(الجدول336112[[#This Row],[اسم المسلّم]]="","",ROW()-8)</f>
        <v/>
      </c>
      <c r="C366" s="16"/>
      <c r="D366" s="17" t="s">
        <v>333</v>
      </c>
      <c r="E366" s="16" t="s">
        <v>309</v>
      </c>
      <c r="F366" s="16" t="s">
        <v>243</v>
      </c>
      <c r="G366" s="16" t="s">
        <v>341</v>
      </c>
      <c r="H366" s="16">
        <v>2</v>
      </c>
      <c r="I366" s="16">
        <v>250</v>
      </c>
      <c r="J366" s="16">
        <f>الجدول336112[[#This Row],[إفرادي القطعة الواحدة]]*0.2397184</f>
        <v>59.929600000000001</v>
      </c>
      <c r="K366" s="40">
        <f>الجدول336112[[#This Row],[إفرادي القطعة الواحدة]]+الجدول336112[[#This Row],[أجور الشحن للقطعة الواحدة]]</f>
        <v>309.92959999999999</v>
      </c>
      <c r="L366" s="16">
        <f>الجدول336112[[#This Row],[العدد]]*الجدول336112[[#This Row],[إجمالي تكلفة القطعة الواحدة]]</f>
        <v>619.85919999999999</v>
      </c>
      <c r="M366" s="16" t="s">
        <v>5</v>
      </c>
      <c r="N366" s="18"/>
      <c r="O366" s="19"/>
      <c r="P366" s="18" t="s">
        <v>748</v>
      </c>
    </row>
    <row r="367" spans="1:16" s="20" customFormat="1" ht="45" customHeight="1" x14ac:dyDescent="0.2">
      <c r="A367" s="24"/>
      <c r="B367" s="15" t="str">
        <f>IF(الجدول336112[[#This Row],[اسم المسلّم]]="","",ROW()-8)</f>
        <v/>
      </c>
      <c r="C367" s="16"/>
      <c r="D367" s="17" t="s">
        <v>714</v>
      </c>
      <c r="E367" s="16" t="s">
        <v>715</v>
      </c>
      <c r="F367" s="16" t="s">
        <v>716</v>
      </c>
      <c r="G367" s="16" t="s">
        <v>341</v>
      </c>
      <c r="H367" s="16">
        <v>21</v>
      </c>
      <c r="I367" s="16">
        <v>330</v>
      </c>
      <c r="J367" s="16">
        <f>الجدول336112[[#This Row],[إفرادي القطعة الواحدة]]*0.2397184</f>
        <v>79.107072000000002</v>
      </c>
      <c r="K367" s="16">
        <f>الجدول336112[[#This Row],[إفرادي القطعة الواحدة]]+الجدول336112[[#This Row],[أجور الشحن للقطعة الواحدة]]</f>
        <v>409.10707200000002</v>
      </c>
      <c r="L367" s="16">
        <f>الجدول336112[[#This Row],[العدد]]*الجدول336112[[#This Row],[إجمالي تكلفة القطعة الواحدة]]</f>
        <v>8591.2485120000001</v>
      </c>
      <c r="M367" s="16" t="s">
        <v>5</v>
      </c>
      <c r="N367" s="18"/>
      <c r="O367" s="19"/>
      <c r="P367" s="18" t="s">
        <v>748</v>
      </c>
    </row>
    <row r="368" spans="1:16" s="20" customFormat="1" ht="45" customHeight="1" x14ac:dyDescent="0.2">
      <c r="A368" s="24"/>
      <c r="B368" s="15" t="str">
        <f>IF(الجدول336112[[#This Row],[اسم المسلّم]]="","",ROW()-8)</f>
        <v/>
      </c>
      <c r="C368" s="16"/>
      <c r="D368" s="17" t="s">
        <v>333</v>
      </c>
      <c r="E368" s="16" t="s">
        <v>309</v>
      </c>
      <c r="F368" s="16" t="s">
        <v>717</v>
      </c>
      <c r="G368" s="16" t="s">
        <v>341</v>
      </c>
      <c r="H368" s="16">
        <v>10</v>
      </c>
      <c r="I368" s="16">
        <v>350</v>
      </c>
      <c r="J368" s="16">
        <f>الجدول336112[[#This Row],[إفرادي القطعة الواحدة]]*0.2397184</f>
        <v>83.901439999999994</v>
      </c>
      <c r="K368" s="16">
        <f>الجدول336112[[#This Row],[إفرادي القطعة الواحدة]]+الجدول336112[[#This Row],[أجور الشحن للقطعة الواحدة]]</f>
        <v>433.90143999999998</v>
      </c>
      <c r="L368" s="16">
        <f>الجدول336112[[#This Row],[العدد]]*الجدول336112[[#This Row],[إجمالي تكلفة القطعة الواحدة]]</f>
        <v>4339.0144</v>
      </c>
      <c r="M368" s="16" t="s">
        <v>5</v>
      </c>
      <c r="N368" s="18"/>
      <c r="O368" s="19"/>
      <c r="P368" s="18" t="s">
        <v>748</v>
      </c>
    </row>
    <row r="369" spans="1:16" s="20" customFormat="1" ht="45" customHeight="1" x14ac:dyDescent="0.2">
      <c r="A369" s="24"/>
      <c r="B369" s="15" t="str">
        <f>IF(الجدول336112[[#This Row],[اسم المسلّم]]="","",ROW()-8)</f>
        <v/>
      </c>
      <c r="C369" s="16"/>
      <c r="D369" s="17" t="s">
        <v>333</v>
      </c>
      <c r="E369" s="16" t="s">
        <v>309</v>
      </c>
      <c r="F369" s="16" t="s">
        <v>718</v>
      </c>
      <c r="G369" s="16" t="s">
        <v>341</v>
      </c>
      <c r="H369" s="16">
        <v>2</v>
      </c>
      <c r="I369" s="16">
        <v>350</v>
      </c>
      <c r="J369" s="16">
        <f>الجدول336112[[#This Row],[إفرادي القطعة الواحدة]]*0.2397184</f>
        <v>83.901439999999994</v>
      </c>
      <c r="K369" s="16">
        <f>الجدول336112[[#This Row],[إفرادي القطعة الواحدة]]+الجدول336112[[#This Row],[أجور الشحن للقطعة الواحدة]]</f>
        <v>433.90143999999998</v>
      </c>
      <c r="L369" s="16">
        <f>الجدول336112[[#This Row],[العدد]]*الجدول336112[[#This Row],[إجمالي تكلفة القطعة الواحدة]]</f>
        <v>867.80287999999996</v>
      </c>
      <c r="M369" s="16" t="s">
        <v>5</v>
      </c>
      <c r="N369" s="18"/>
      <c r="O369" s="19"/>
      <c r="P369" s="18" t="s">
        <v>748</v>
      </c>
    </row>
    <row r="370" spans="1:16" s="20" customFormat="1" ht="45" customHeight="1" x14ac:dyDescent="0.2">
      <c r="A370" s="24"/>
      <c r="B370" s="15" t="str">
        <f>IF(الجدول336112[[#This Row],[اسم المسلّم]]="","",ROW()-8)</f>
        <v/>
      </c>
      <c r="C370" s="16"/>
      <c r="D370" s="17" t="s">
        <v>719</v>
      </c>
      <c r="E370" s="16" t="s">
        <v>722</v>
      </c>
      <c r="F370" s="16" t="s">
        <v>720</v>
      </c>
      <c r="G370" s="16" t="s">
        <v>341</v>
      </c>
      <c r="H370" s="16">
        <v>37</v>
      </c>
      <c r="I370" s="16">
        <v>45</v>
      </c>
      <c r="J370" s="16">
        <f>الجدول336112[[#This Row],[إفرادي القطعة الواحدة]]*0.2397184</f>
        <v>10.787328</v>
      </c>
      <c r="K370" s="16">
        <f>الجدول336112[[#This Row],[إفرادي القطعة الواحدة]]+الجدول336112[[#This Row],[أجور الشحن للقطعة الواحدة]]</f>
        <v>55.787328000000002</v>
      </c>
      <c r="L370" s="16">
        <f>الجدول336112[[#This Row],[العدد]]*الجدول336112[[#This Row],[إجمالي تكلفة القطعة الواحدة]]</f>
        <v>2064.131136</v>
      </c>
      <c r="M370" s="16" t="s">
        <v>5</v>
      </c>
      <c r="N370" s="18"/>
      <c r="O370" s="19"/>
      <c r="P370" s="18" t="s">
        <v>748</v>
      </c>
    </row>
    <row r="371" spans="1:16" s="20" customFormat="1" ht="45" customHeight="1" x14ac:dyDescent="0.2">
      <c r="A371" s="24"/>
      <c r="B371" s="15" t="str">
        <f>IF(الجدول336112[[#This Row],[اسم المسلّم]]="","",ROW()-8)</f>
        <v/>
      </c>
      <c r="C371" s="16"/>
      <c r="D371" s="17" t="s">
        <v>721</v>
      </c>
      <c r="E371" s="16" t="s">
        <v>311</v>
      </c>
      <c r="F371" s="16" t="s">
        <v>245</v>
      </c>
      <c r="G371" s="16" t="s">
        <v>341</v>
      </c>
      <c r="H371" s="16">
        <v>1</v>
      </c>
      <c r="I371" s="16">
        <v>299</v>
      </c>
      <c r="J371" s="16">
        <f>الجدول336112[[#This Row],[إفرادي القطعة الواحدة]]*0.2397184</f>
        <v>71.6758016</v>
      </c>
      <c r="K371" s="16">
        <f>الجدول336112[[#This Row],[إفرادي القطعة الواحدة]]+الجدول336112[[#This Row],[أجور الشحن للقطعة الواحدة]]</f>
        <v>370.6758016</v>
      </c>
      <c r="L371" s="16">
        <f>الجدول336112[[#This Row],[العدد]]*الجدول336112[[#This Row],[إجمالي تكلفة القطعة الواحدة]]</f>
        <v>370.6758016</v>
      </c>
      <c r="M371" s="16" t="s">
        <v>5</v>
      </c>
      <c r="N371" s="18"/>
      <c r="O371" s="19"/>
      <c r="P371" s="18" t="s">
        <v>748</v>
      </c>
    </row>
    <row r="372" spans="1:16" s="20" customFormat="1" ht="45" customHeight="1" x14ac:dyDescent="0.2">
      <c r="A372" s="24"/>
      <c r="B372" s="15" t="str">
        <f>IF(الجدول336112[[#This Row],[اسم المسلّم]]="","",ROW()-8)</f>
        <v/>
      </c>
      <c r="C372" s="16"/>
      <c r="D372" s="17" t="s">
        <v>413</v>
      </c>
      <c r="E372" s="16" t="s">
        <v>412</v>
      </c>
      <c r="F372" s="16" t="s">
        <v>723</v>
      </c>
      <c r="G372" s="16" t="s">
        <v>341</v>
      </c>
      <c r="H372" s="16">
        <v>1</v>
      </c>
      <c r="I372" s="16">
        <v>8</v>
      </c>
      <c r="J372" s="16">
        <f>الجدول336112[[#This Row],[إفرادي القطعة الواحدة]]*0.2397184</f>
        <v>1.9177472</v>
      </c>
      <c r="K372" s="16">
        <f>الجدول336112[[#This Row],[إفرادي القطعة الواحدة]]+الجدول336112[[#This Row],[أجور الشحن للقطعة الواحدة]]</f>
        <v>9.9177472000000009</v>
      </c>
      <c r="L372" s="16">
        <f>الجدول336112[[#This Row],[العدد]]*الجدول336112[[#This Row],[إجمالي تكلفة القطعة الواحدة]]</f>
        <v>9.9177472000000009</v>
      </c>
      <c r="M372" s="16" t="s">
        <v>5</v>
      </c>
      <c r="N372" s="18"/>
      <c r="O372" s="19"/>
      <c r="P372" s="18" t="s">
        <v>748</v>
      </c>
    </row>
    <row r="373" spans="1:16" s="20" customFormat="1" ht="45" customHeight="1" x14ac:dyDescent="0.2">
      <c r="A373" s="24"/>
      <c r="B373" s="15" t="str">
        <f>IF(الجدول336112[[#This Row],[اسم المسلّم]]="","",ROW()-8)</f>
        <v/>
      </c>
      <c r="C373" s="16"/>
      <c r="D373" s="17" t="s">
        <v>413</v>
      </c>
      <c r="E373" s="16" t="s">
        <v>412</v>
      </c>
      <c r="F373" s="16" t="s">
        <v>407</v>
      </c>
      <c r="G373" s="16" t="s">
        <v>341</v>
      </c>
      <c r="H373" s="16">
        <v>1</v>
      </c>
      <c r="I373" s="16">
        <v>8.1999999999999993</v>
      </c>
      <c r="J373" s="16">
        <f>الجدول336112[[#This Row],[إفرادي القطعة الواحدة]]*0.2397184</f>
        <v>1.9656908799999999</v>
      </c>
      <c r="K373" s="16">
        <f>الجدول336112[[#This Row],[إفرادي القطعة الواحدة]]+الجدول336112[[#This Row],[أجور الشحن للقطعة الواحدة]]</f>
        <v>10.16569088</v>
      </c>
      <c r="L373" s="16">
        <f>الجدول336112[[#This Row],[العدد]]*الجدول336112[[#This Row],[إجمالي تكلفة القطعة الواحدة]]</f>
        <v>10.16569088</v>
      </c>
      <c r="M373" s="16" t="s">
        <v>5</v>
      </c>
      <c r="N373" s="18"/>
      <c r="O373" s="19"/>
      <c r="P373" s="18" t="s">
        <v>748</v>
      </c>
    </row>
    <row r="374" spans="1:16" s="20" customFormat="1" ht="45" customHeight="1" x14ac:dyDescent="0.2">
      <c r="A374" s="24"/>
      <c r="B374" s="15" t="str">
        <f>IF(الجدول336112[[#This Row],[اسم المسلّم]]="","",ROW()-8)</f>
        <v/>
      </c>
      <c r="C374" s="16"/>
      <c r="D374" s="17" t="s">
        <v>724</v>
      </c>
      <c r="E374" s="16" t="s">
        <v>725</v>
      </c>
      <c r="F374" s="16" t="s">
        <v>726</v>
      </c>
      <c r="G374" s="16" t="s">
        <v>341</v>
      </c>
      <c r="H374" s="16">
        <v>1</v>
      </c>
      <c r="I374" s="16">
        <v>125</v>
      </c>
      <c r="J374" s="16">
        <f>الجدول336112[[#This Row],[إفرادي القطعة الواحدة]]*0.2397184</f>
        <v>29.9648</v>
      </c>
      <c r="K374" s="16">
        <f>الجدول336112[[#This Row],[إفرادي القطعة الواحدة]]+الجدول336112[[#This Row],[أجور الشحن للقطعة الواحدة]]</f>
        <v>154.9648</v>
      </c>
      <c r="L374" s="16">
        <f>الجدول336112[[#This Row],[العدد]]*الجدول336112[[#This Row],[إجمالي تكلفة القطعة الواحدة]]</f>
        <v>154.9648</v>
      </c>
      <c r="M374" s="16" t="s">
        <v>5</v>
      </c>
      <c r="N374" s="18"/>
      <c r="O374" s="19"/>
      <c r="P374" s="18" t="s">
        <v>748</v>
      </c>
    </row>
    <row r="375" spans="1:16" s="20" customFormat="1" ht="45" customHeight="1" x14ac:dyDescent="0.2">
      <c r="A375" s="24"/>
      <c r="B375" s="15" t="str">
        <f>IF(الجدول336112[[#This Row],[اسم المسلّم]]="","",ROW()-8)</f>
        <v/>
      </c>
      <c r="C375" s="16"/>
      <c r="D375" s="17"/>
      <c r="E375" s="16"/>
      <c r="F375" s="16"/>
      <c r="G375" s="16"/>
      <c r="H375" s="16"/>
      <c r="I375" s="16"/>
      <c r="J375" s="16">
        <f>الجدول336112[[#This Row],[إفرادي القطعة الواحدة]]*0.2397184</f>
        <v>0</v>
      </c>
      <c r="K375" s="16">
        <f>الجدول336112[[#This Row],[إفرادي القطعة الواحدة]]+الجدول336112[[#This Row],[أجور الشحن للقطعة الواحدة]]</f>
        <v>0</v>
      </c>
      <c r="L375" s="16">
        <f>الجدول336112[[#This Row],[العدد]]*الجدول336112[[#This Row],[إجمالي تكلفة القطعة الواحدة]]</f>
        <v>0</v>
      </c>
      <c r="M375" s="16"/>
      <c r="N375" s="18"/>
      <c r="O375" s="19"/>
      <c r="P375" s="18"/>
    </row>
    <row r="376" spans="1:16" s="20" customFormat="1" ht="45" customHeight="1" x14ac:dyDescent="0.2">
      <c r="A376" s="24"/>
      <c r="B376" s="15" t="str">
        <f>IF(الجدول336112[[#This Row],[اسم المسلّم]]="","",ROW()-8)</f>
        <v/>
      </c>
      <c r="C376" s="16"/>
      <c r="D376" s="17"/>
      <c r="E376" s="16"/>
      <c r="F376" s="16"/>
      <c r="G376" s="16"/>
      <c r="H376" s="16"/>
      <c r="I376" s="16"/>
      <c r="J376" s="16">
        <f>الجدول336112[[#This Row],[إفرادي القطعة الواحدة]]*0.2397184</f>
        <v>0</v>
      </c>
      <c r="K376" s="16">
        <f>الجدول336112[[#This Row],[إفرادي القطعة الواحدة]]+الجدول336112[[#This Row],[أجور الشحن للقطعة الواحدة]]</f>
        <v>0</v>
      </c>
      <c r="L376" s="16">
        <f>الجدول336112[[#This Row],[العدد]]*الجدول336112[[#This Row],[إجمالي تكلفة القطعة الواحدة]]</f>
        <v>0</v>
      </c>
      <c r="M376" s="16"/>
      <c r="N376" s="18"/>
      <c r="O376" s="19"/>
      <c r="P376" s="18"/>
    </row>
    <row r="377" spans="1:16" s="20" customFormat="1" ht="45" customHeight="1" x14ac:dyDescent="0.2">
      <c r="A377" s="24"/>
      <c r="B377" s="15" t="str">
        <f>IF(الجدول336112[[#This Row],[اسم المسلّم]]="","",ROW()-8)</f>
        <v/>
      </c>
      <c r="C377" s="16"/>
      <c r="D377" s="17"/>
      <c r="E377" s="16"/>
      <c r="F377" s="16"/>
      <c r="G377" s="16"/>
      <c r="H377" s="16"/>
      <c r="I377" s="16"/>
      <c r="J377" s="16">
        <f>الجدول336112[[#This Row],[إفرادي القطعة الواحدة]]*0.2397184</f>
        <v>0</v>
      </c>
      <c r="K377" s="16">
        <f>الجدول336112[[#This Row],[إفرادي القطعة الواحدة]]+الجدول336112[[#This Row],[أجور الشحن للقطعة الواحدة]]</f>
        <v>0</v>
      </c>
      <c r="L377" s="16">
        <f>الجدول336112[[#This Row],[العدد]]*الجدول336112[[#This Row],[إجمالي تكلفة القطعة الواحدة]]</f>
        <v>0</v>
      </c>
      <c r="M377" s="16"/>
      <c r="N377" s="18"/>
      <c r="O377" s="19"/>
      <c r="P377" s="18"/>
    </row>
    <row r="378" spans="1:16" s="20" customFormat="1" ht="45" customHeight="1" x14ac:dyDescent="0.2">
      <c r="A378" s="24"/>
      <c r="B378" s="15" t="str">
        <f>IF(الجدول336112[[#This Row],[اسم المسلّم]]="","",ROW()-8)</f>
        <v/>
      </c>
      <c r="C378" s="16"/>
      <c r="D378" s="17"/>
      <c r="E378" s="16"/>
      <c r="F378" s="16"/>
      <c r="G378" s="16"/>
      <c r="H378" s="16"/>
      <c r="I378" s="16"/>
      <c r="J378" s="16">
        <f>الجدول336112[[#This Row],[إفرادي القطعة الواحدة]]*0.2397184</f>
        <v>0</v>
      </c>
      <c r="K378" s="16">
        <f>الجدول336112[[#This Row],[إفرادي القطعة الواحدة]]+الجدول336112[[#This Row],[أجور الشحن للقطعة الواحدة]]</f>
        <v>0</v>
      </c>
      <c r="L378" s="16">
        <f>الجدول336112[[#This Row],[العدد]]*الجدول336112[[#This Row],[إجمالي تكلفة القطعة الواحدة]]</f>
        <v>0</v>
      </c>
      <c r="M378" s="16"/>
      <c r="N378" s="18"/>
      <c r="O378" s="19"/>
      <c r="P378" s="18"/>
    </row>
    <row r="379" spans="1:16" s="20" customFormat="1" ht="45" customHeight="1" x14ac:dyDescent="0.2">
      <c r="A379" s="24"/>
      <c r="B379" s="15" t="str">
        <f>IF(الجدول336112[[#This Row],[اسم المسلّم]]="","",ROW()-8)</f>
        <v/>
      </c>
      <c r="C379" s="16"/>
      <c r="D379" s="17"/>
      <c r="E379" s="16"/>
      <c r="F379" s="16"/>
      <c r="G379" s="16"/>
      <c r="H379" s="16"/>
      <c r="I379" s="16"/>
      <c r="J379" s="16">
        <f>الجدول336112[[#This Row],[إفرادي القطعة الواحدة]]*0.2397184</f>
        <v>0</v>
      </c>
      <c r="K379" s="16">
        <f>الجدول336112[[#This Row],[إفرادي القطعة الواحدة]]+الجدول336112[[#This Row],[أجور الشحن للقطعة الواحدة]]</f>
        <v>0</v>
      </c>
      <c r="L379" s="16">
        <f>الجدول336112[[#This Row],[العدد]]*الجدول336112[[#This Row],[إجمالي تكلفة القطعة الواحدة]]</f>
        <v>0</v>
      </c>
      <c r="M379" s="16"/>
      <c r="N379" s="18"/>
      <c r="O379" s="19"/>
      <c r="P379" s="18"/>
    </row>
    <row r="380" spans="1:16" s="20" customFormat="1" ht="45" customHeight="1" x14ac:dyDescent="0.2">
      <c r="A380" s="24"/>
      <c r="B380" s="15" t="str">
        <f>IF(الجدول336112[[#This Row],[اسم المسلّم]]="","",ROW()-8)</f>
        <v/>
      </c>
      <c r="C380" s="16"/>
      <c r="D380" s="17"/>
      <c r="E380" s="16"/>
      <c r="F380" s="16"/>
      <c r="G380" s="16"/>
      <c r="H380" s="16"/>
      <c r="I380" s="16"/>
      <c r="J380" s="16">
        <f>الجدول336112[[#This Row],[إفرادي القطعة الواحدة]]*0.2397184</f>
        <v>0</v>
      </c>
      <c r="K380" s="16">
        <f>الجدول336112[[#This Row],[إفرادي القطعة الواحدة]]+الجدول336112[[#This Row],[أجور الشحن للقطعة الواحدة]]</f>
        <v>0</v>
      </c>
      <c r="L380" s="16">
        <f>الجدول336112[[#This Row],[العدد]]*الجدول336112[[#This Row],[إجمالي تكلفة القطعة الواحدة]]</f>
        <v>0</v>
      </c>
      <c r="M380" s="16"/>
      <c r="N380" s="18"/>
      <c r="O380" s="19"/>
      <c r="P380" s="18"/>
    </row>
    <row r="381" spans="1:16" s="20" customFormat="1" ht="45" customHeight="1" x14ac:dyDescent="0.2">
      <c r="A381" s="24"/>
      <c r="B381" s="15" t="str">
        <f>IF(الجدول336112[[#This Row],[اسم المسلّم]]="","",ROW()-8)</f>
        <v/>
      </c>
      <c r="C381" s="16"/>
      <c r="D381" s="17"/>
      <c r="E381" s="16"/>
      <c r="F381" s="16"/>
      <c r="G381" s="16"/>
      <c r="H381" s="16"/>
      <c r="I381" s="16"/>
      <c r="J381" s="16">
        <f>الجدول336112[[#This Row],[إفرادي القطعة الواحدة]]*0.2397184</f>
        <v>0</v>
      </c>
      <c r="K381" s="16">
        <f>الجدول336112[[#This Row],[إفرادي القطعة الواحدة]]+الجدول336112[[#This Row],[أجور الشحن للقطعة الواحدة]]</f>
        <v>0</v>
      </c>
      <c r="L381" s="16">
        <f>الجدول336112[[#This Row],[العدد]]*الجدول336112[[#This Row],[إجمالي تكلفة القطعة الواحدة]]</f>
        <v>0</v>
      </c>
      <c r="M381" s="16"/>
      <c r="N381" s="18"/>
      <c r="O381" s="19"/>
      <c r="P381" s="18"/>
    </row>
    <row r="382" spans="1:16" s="20" customFormat="1" ht="45" customHeight="1" x14ac:dyDescent="0.2">
      <c r="A382" s="24"/>
      <c r="B382" s="15" t="str">
        <f>IF(الجدول336112[[#This Row],[اسم المسلّم]]="","",ROW()-8)</f>
        <v/>
      </c>
      <c r="C382" s="16"/>
      <c r="D382" s="17"/>
      <c r="E382" s="16"/>
      <c r="F382" s="16"/>
      <c r="G382" s="16"/>
      <c r="H382" s="16"/>
      <c r="I382" s="16"/>
      <c r="J382" s="16">
        <f>الجدول336112[[#This Row],[إفرادي القطعة الواحدة]]*0.2397184</f>
        <v>0</v>
      </c>
      <c r="K382" s="16">
        <f>الجدول336112[[#This Row],[إفرادي القطعة الواحدة]]+الجدول336112[[#This Row],[أجور الشحن للقطعة الواحدة]]</f>
        <v>0</v>
      </c>
      <c r="L382" s="16">
        <f>الجدول336112[[#This Row],[العدد]]*الجدول336112[[#This Row],[إجمالي تكلفة القطعة الواحدة]]</f>
        <v>0</v>
      </c>
      <c r="M382" s="16"/>
      <c r="N382" s="18"/>
      <c r="O382" s="19"/>
      <c r="P382" s="18"/>
    </row>
    <row r="383" spans="1:16" s="20" customFormat="1" ht="45" customHeight="1" x14ac:dyDescent="0.2">
      <c r="A383" s="24"/>
      <c r="B383" s="15" t="str">
        <f>IF(الجدول336112[[#This Row],[اسم المسلّم]]="","",ROW()-8)</f>
        <v/>
      </c>
      <c r="C383" s="16"/>
      <c r="D383" s="17"/>
      <c r="E383" s="16"/>
      <c r="F383" s="16"/>
      <c r="G383" s="16"/>
      <c r="H383" s="16"/>
      <c r="I383" s="16"/>
      <c r="J383" s="16">
        <f>الجدول336112[[#This Row],[إفرادي القطعة الواحدة]]*0.2397184</f>
        <v>0</v>
      </c>
      <c r="K383" s="16">
        <f>الجدول336112[[#This Row],[إفرادي القطعة الواحدة]]+الجدول336112[[#This Row],[أجور الشحن للقطعة الواحدة]]</f>
        <v>0</v>
      </c>
      <c r="L383" s="16">
        <f>الجدول336112[[#This Row],[العدد]]*الجدول336112[[#This Row],[إجمالي تكلفة القطعة الواحدة]]</f>
        <v>0</v>
      </c>
      <c r="M383" s="16"/>
      <c r="N383" s="18"/>
      <c r="O383" s="19"/>
      <c r="P383" s="18"/>
    </row>
    <row r="384" spans="1:16" s="20" customFormat="1" ht="45" customHeight="1" x14ac:dyDescent="0.2">
      <c r="A384" s="24"/>
      <c r="B384" s="15" t="str">
        <f>IF(الجدول336112[[#This Row],[اسم المسلّم]]="","",ROW()-8)</f>
        <v/>
      </c>
      <c r="C384" s="16"/>
      <c r="D384" s="17"/>
      <c r="E384" s="16"/>
      <c r="F384" s="16"/>
      <c r="G384" s="16"/>
      <c r="H384" s="16"/>
      <c r="I384" s="16"/>
      <c r="J384" s="16">
        <f>الجدول336112[[#This Row],[إفرادي القطعة الواحدة]]*0.2397184</f>
        <v>0</v>
      </c>
      <c r="K384" s="16">
        <f>الجدول336112[[#This Row],[إفرادي القطعة الواحدة]]+الجدول336112[[#This Row],[أجور الشحن للقطعة الواحدة]]</f>
        <v>0</v>
      </c>
      <c r="L384" s="16">
        <f>الجدول336112[[#This Row],[العدد]]*الجدول336112[[#This Row],[إجمالي تكلفة القطعة الواحدة]]</f>
        <v>0</v>
      </c>
      <c r="M384" s="16"/>
      <c r="N384" s="18"/>
      <c r="O384" s="19"/>
      <c r="P384" s="18"/>
    </row>
    <row r="385" spans="1:16" s="20" customFormat="1" ht="45" customHeight="1" x14ac:dyDescent="0.2">
      <c r="A385" s="24"/>
      <c r="B385" s="15" t="str">
        <f>IF(الجدول336112[[#This Row],[اسم المسلّم]]="","",ROW()-8)</f>
        <v/>
      </c>
      <c r="C385" s="16"/>
      <c r="D385" s="17"/>
      <c r="E385" s="16"/>
      <c r="F385" s="16"/>
      <c r="G385" s="16"/>
      <c r="H385" s="16"/>
      <c r="I385" s="16"/>
      <c r="J385" s="16">
        <f>الجدول336112[[#This Row],[إفرادي القطعة الواحدة]]*0.2397184</f>
        <v>0</v>
      </c>
      <c r="K385" s="16">
        <f>الجدول336112[[#This Row],[إفرادي القطعة الواحدة]]+الجدول336112[[#This Row],[أجور الشحن للقطعة الواحدة]]</f>
        <v>0</v>
      </c>
      <c r="L385" s="16">
        <f>الجدول336112[[#This Row],[العدد]]*الجدول336112[[#This Row],[إجمالي تكلفة القطعة الواحدة]]</f>
        <v>0</v>
      </c>
      <c r="M385" s="16"/>
      <c r="N385" s="18"/>
      <c r="O385" s="19"/>
      <c r="P385" s="18"/>
    </row>
    <row r="386" spans="1:16" s="20" customFormat="1" ht="45" customHeight="1" x14ac:dyDescent="0.2">
      <c r="A386" s="24"/>
      <c r="B386" s="15" t="str">
        <f>IF(الجدول336112[[#This Row],[اسم المسلّم]]="","",ROW()-8)</f>
        <v/>
      </c>
      <c r="C386" s="16"/>
      <c r="D386" s="17"/>
      <c r="E386" s="16"/>
      <c r="F386" s="16"/>
      <c r="G386" s="16"/>
      <c r="H386" s="16"/>
      <c r="I386" s="16"/>
      <c r="J386" s="16">
        <f>الجدول336112[[#This Row],[إفرادي القطعة الواحدة]]*0.2397184</f>
        <v>0</v>
      </c>
      <c r="K386" s="16">
        <f>الجدول336112[[#This Row],[إفرادي القطعة الواحدة]]+الجدول336112[[#This Row],[أجور الشحن للقطعة الواحدة]]</f>
        <v>0</v>
      </c>
      <c r="L386" s="16">
        <f>الجدول336112[[#This Row],[العدد]]*الجدول336112[[#This Row],[إجمالي تكلفة القطعة الواحدة]]</f>
        <v>0</v>
      </c>
      <c r="M386" s="16"/>
      <c r="N386" s="18"/>
      <c r="O386" s="19"/>
      <c r="P386" s="18"/>
    </row>
  </sheetData>
  <phoneticPr fontId="12" type="noConversion"/>
  <dataValidations count="1">
    <dataValidation allowBlank="1" showInputMessage="1" showErrorMessage="1" promptTitle="خطأ" sqref="A5:A6 B6 A2:A3 D6 H6:O6" xr:uid="{76AACC9B-259C-4041-BB68-8E9F272ABE58}"/>
  </dataValidations>
  <pageMargins left="0.2" right="0.39" top="0.25" bottom="0.24" header="0.23" footer="0.25"/>
  <pageSetup paperSize="9" scale="29" fitToHeight="0" orientation="landscape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925957B-8897-4B33-9FED-1BC3CFABF7DE}">
          <x14:formula1>
            <xm:f>البيان!$C$38:$C$766</xm:f>
          </x14:formula1>
          <xm:sqref>E8:E359</xm:sqref>
        </x14:dataValidation>
        <x14:dataValidation type="list" allowBlank="1" showInputMessage="1" showErrorMessage="1" xr:uid="{4A614B7A-9E58-434C-A800-E5E4E4074442}">
          <x14:formula1>
            <xm:f>البيان!$D$38:$D$766</xm:f>
          </x14:formula1>
          <xm:sqref>F8:F359</xm:sqref>
        </x14:dataValidation>
        <x14:dataValidation type="list" allowBlank="1" showInputMessage="1" showErrorMessage="1" xr:uid="{AAB471C0-C197-4BD9-8C62-677728CB260B}">
          <x14:formula1>
            <xm:f>البيان!$D$3:$D$766</xm:f>
          </x14:formula1>
          <xm:sqref>F344:F347 F360:F386</xm:sqref>
        </x14:dataValidation>
        <x14:dataValidation type="list" allowBlank="1" showInputMessage="1" showErrorMessage="1" xr:uid="{6DD0C835-C04D-46E0-93CA-FC4934FF5A2A}">
          <x14:formula1>
            <xm:f>البيان!$C$3:$C$766</xm:f>
          </x14:formula1>
          <xm:sqref>E344:E347 E360:E386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البيان</vt:lpstr>
      <vt:lpstr>مستودع رئيسي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2026-10-21T05:55:23Z</dcterms:modified>
</cp:coreProperties>
</file>