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المنارة البيضاء\OneDrive\Desktop\"/>
    </mc:Choice>
  </mc:AlternateContent>
  <xr:revisionPtr revIDLastSave="0" documentId="13_ncr:1_{979B9B0C-E8BF-4A36-9E30-61952EE45CDF}" xr6:coauthVersionLast="47" xr6:coauthVersionMax="47" xr10:uidLastSave="{00000000-0000-0000-0000-000000000000}"/>
  <bookViews>
    <workbookView xWindow="-120" yWindow="-120" windowWidth="20730" windowHeight="11040" xr2:uid="{00000000-000D-0000-FFFF-FFFF00000000}"/>
  </bookViews>
  <sheets>
    <sheet name="قائمة المنتجات" sheetId="1" r:id="rId1"/>
    <sheet name="النص المستخرج" sheetId="2" state="hidden" r:id="rId2"/>
  </sheets>
  <definedNames>
    <definedName name="_xlnm._FilterDatabase" localSheetId="1" hidden="1">'النص المستخرج'!$A$1:$L$162</definedName>
    <definedName name="_xlnm._FilterDatabase" localSheetId="0" hidden="1">'قائمة المنتجات'!$A$1:$H$136</definedName>
  </definedNames>
  <calcPr calcId="191029"/>
</workbook>
</file>

<file path=xl/calcChain.xml><?xml version="1.0" encoding="utf-8"?>
<calcChain xmlns="http://schemas.openxmlformats.org/spreadsheetml/2006/main">
  <c r="F111" i="1" l="1"/>
  <c r="G2" i="1"/>
  <c r="G5" i="1"/>
  <c r="G3" i="1"/>
  <c r="G4"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9" i="1"/>
  <c r="F40" i="1"/>
  <c r="F41" i="1"/>
  <c r="F42" i="1"/>
  <c r="F43" i="1"/>
  <c r="F44" i="1"/>
  <c r="F45" i="1"/>
  <c r="F46" i="1"/>
  <c r="F47" i="1"/>
  <c r="F48" i="1"/>
  <c r="F49" i="1"/>
  <c r="F50" i="1"/>
  <c r="F51" i="1"/>
  <c r="F52" i="1"/>
  <c r="F53" i="1"/>
  <c r="F54" i="1"/>
  <c r="F55" i="1"/>
  <c r="F56" i="1"/>
  <c r="F57" i="1"/>
  <c r="F58" i="1"/>
  <c r="F59" i="1"/>
  <c r="F60" i="1"/>
  <c r="F61" i="1"/>
  <c r="F62" i="1"/>
  <c r="F63" i="1"/>
  <c r="F64" i="1"/>
  <c r="F65" i="1"/>
  <c r="F67" i="1"/>
  <c r="F68" i="1"/>
  <c r="F69" i="1"/>
  <c r="F70" i="1"/>
  <c r="F71" i="1"/>
  <c r="F72" i="1"/>
  <c r="F73" i="1"/>
  <c r="F74" i="1"/>
  <c r="F75" i="1"/>
  <c r="F76" i="1"/>
  <c r="F77" i="1"/>
  <c r="F78" i="1"/>
  <c r="F79" i="1"/>
  <c r="F80" i="1"/>
  <c r="F81" i="1"/>
  <c r="F82" i="1"/>
  <c r="F83" i="1"/>
  <c r="F85" i="1"/>
  <c r="F86" i="1"/>
  <c r="F89" i="1"/>
  <c r="F91" i="1"/>
  <c r="F93" i="1"/>
  <c r="F94" i="1"/>
  <c r="F95" i="1"/>
  <c r="F96" i="1"/>
  <c r="F97" i="1"/>
  <c r="F98" i="1"/>
  <c r="F99" i="1"/>
  <c r="F100" i="1"/>
  <c r="F101" i="1"/>
  <c r="F103" i="1"/>
  <c r="F104" i="1"/>
  <c r="F105" i="1"/>
  <c r="F106" i="1"/>
  <c r="F107" i="1"/>
  <c r="F109" i="1"/>
  <c r="F110" i="1"/>
  <c r="F112" i="1"/>
  <c r="F113" i="1"/>
  <c r="F114" i="1"/>
  <c r="F115" i="1"/>
  <c r="F116" i="1"/>
  <c r="F117" i="1"/>
  <c r="F118" i="1"/>
  <c r="F119" i="1"/>
  <c r="F120" i="1"/>
  <c r="F121" i="1"/>
  <c r="F122" i="1"/>
  <c r="F123" i="1"/>
  <c r="F124" i="1"/>
  <c r="F125" i="1"/>
  <c r="F126" i="1"/>
  <c r="F127" i="1"/>
  <c r="F128" i="1"/>
  <c r="F129" i="1"/>
  <c r="F130" i="1"/>
  <c r="F136" i="1"/>
</calcChain>
</file>

<file path=xl/sharedStrings.xml><?xml version="1.0" encoding="utf-8"?>
<sst xmlns="http://schemas.openxmlformats.org/spreadsheetml/2006/main" count="494" uniqueCount="312">
  <si>
    <t>الرقم</t>
  </si>
  <si>
    <t>رقم الموديل</t>
  </si>
  <si>
    <t>MP</t>
  </si>
  <si>
    <t>المواصفات</t>
  </si>
  <si>
    <t>العدسة</t>
  </si>
  <si>
    <t>سعر المفرق</t>
  </si>
  <si>
    <t>1</t>
  </si>
  <si>
    <t>DS-2CD1347G3H-LIU/SL(2.8mm)(O-STD)</t>
  </si>
  <si>
    <t>4 M</t>
  </si>
  <si>
    <t>كامريا شبكية اثبتة دقة 4 ميغا بكسل، من اجليل الثالث، تقنية COLORVu</t>
  </si>
  <si>
    <t>2.8mm</t>
  </si>
  <si>
    <t>18</t>
  </si>
  <si>
    <t>2</t>
  </si>
  <si>
    <t>DS-2CD1047G3-LIU(4mm)(O-STD)</t>
  </si>
  <si>
    <t>4mm</t>
  </si>
  <si>
    <t>3</t>
  </si>
  <si>
    <t>Ds-2CD1063G2-LIU</t>
  </si>
  <si>
    <t>6 M</t>
  </si>
  <si>
    <t>تقنية الضغط +H.265 الفعالة مقاومة للماء والغبار )IP67( الضوء اهلجني الذكي: تقنية متقدمة ذات مدى طويل دعم الكشف عن اإلنسان واملركبة</t>
  </si>
  <si>
    <t>4</t>
  </si>
  <si>
    <t>Ds-2CD1163G2-LIU</t>
  </si>
  <si>
    <t>مقاوم للماء والغبار )IP67( ومقاوم للتخريب )IK08( ميكروفون مدمج ألمان الصوت يف الوقت احلقيقي تقنية الضغط +H.265 الفعالة الضوء اهلجني الذكي: تقنية متقدمة ذات مدى طويل دعم الكشف عن اإلنسان واملركبة</t>
  </si>
  <si>
    <t>5</t>
  </si>
  <si>
    <t>DS-2CD1T63G2-LIU</t>
  </si>
  <si>
    <t>6M</t>
  </si>
  <si>
    <t>ميكروفون مدمج Time Real ، مدخل كرت ذاكرة حىت 512GB مقاومة للماء والغبار )IP67( ، تقنية الضغط +H.265 الفعالة الضوء اهلجني الذكي: تقنية متقدمة ذات مدى طويل حىت 05م دعم الكشف عن اإلنسان واملركبة</t>
  </si>
  <si>
    <t>6</t>
  </si>
  <si>
    <t>DS-2CD1067G3-LIU/SRB(2.8mm)(O-STD)</t>
  </si>
  <si>
    <t>كامريا شبكية اثبتة دقة 6 ميغا بكسل، من اجليل الثالث، تقنية COLORVu</t>
  </si>
  <si>
    <t>7</t>
  </si>
  <si>
    <t>DS-2CD1083G2-LIU</t>
  </si>
  <si>
    <t>8 M</t>
  </si>
  <si>
    <t>مقاومة للماء والغبار )IP67( ميكروفون مدمج ألمان الصوت يف الوقت احلقيقي تقنية الضغط +H.265 الفعالة الضوء اهلجني الذكي: تقنية متقدمة ذات مدى طويل دعم الكشف عن اإلنسان واملركبة</t>
  </si>
  <si>
    <t>8</t>
  </si>
  <si>
    <t>DS-2CD1183G2-LIU</t>
  </si>
  <si>
    <t>مقاوم للماء والغبار )IP67( ومقاوم للتخريب )IK08( ميكروفون مدمج ألمان الصوت يف الوقت احلقيقي تقنية الضغط +H.265 الفعالة لضوء اهلجني الذكي: تقنية متقدمة ذات مدى طويل دعم الكشف عن اإلنسان واملركبة</t>
  </si>
  <si>
    <t>9</t>
  </si>
  <si>
    <t>DS-2CD1T83G2-LIU(4mm)(O-STD)</t>
  </si>
  <si>
    <t>كامريا شبكية اثبتة دقة 8 ميغا بكسل، تقنية اإلضاءة املزدوجة Motion</t>
  </si>
  <si>
    <t>24</t>
  </si>
  <si>
    <t>10</t>
  </si>
  <si>
    <t>DS-2CD2087G2H-LI(4mm)(eF)(O-STD)</t>
  </si>
  <si>
    <t>ColorVu كامريا شبكية صغرية اثبتة بدقة 8 ميجابكسل مزودة إبضاءة هجينة ذكية وتقنية</t>
  </si>
  <si>
    <t>4 mm</t>
  </si>
  <si>
    <t>11</t>
  </si>
  <si>
    <t>DS-2CD2T67G2P-LSU/SL</t>
  </si>
  <si>
    <t>ميكروفون مدمج Time Real مع تنقية لصوت الضوضاء يف احمليط مقاومة للماء والغبار )IP67( ، تقنية الضغط +H.265 الفعالة رؤاي ليلية ملونة بشكل كامل بتقنية ColorVu حىت 04م كامريا ابنورامية ذات عدسة مزودوجة بزاوية رؤاي 180ْ</t>
  </si>
  <si>
    <t>12</t>
  </si>
  <si>
    <t>DS-2CD3T87G2P-LSU/SL(4mm)(C)(O-STD)</t>
  </si>
  <si>
    <t>كامريا شبكية اثبتة خارجية ابنورامية بدقة 8 ميجابكسل بتقنية ColorVu</t>
  </si>
  <si>
    <t>13</t>
  </si>
  <si>
    <t>DS-2CD6362F-I</t>
  </si>
  <si>
    <t>مما مينع تسرب املاء لالستخدام اخلارجي ،01KI/66PI والتخريب مبعيار كامريا شبكية عني السمكة قادرة على توفري صورة ابنورامية بزاوية 360 درجة ملوقع املراقبة. مقاومة للماء</t>
  </si>
  <si>
    <t>14</t>
  </si>
  <si>
    <t>DS-TCG405-E</t>
  </si>
  <si>
    <t>كامريا ذكية لقراءة منر السيارات</t>
  </si>
  <si>
    <t>3.1-6</t>
  </si>
  <si>
    <t>15</t>
  </si>
  <si>
    <t>iDS-2CD7A86G2/P-IZHS</t>
  </si>
  <si>
    <t>8M /4K</t>
  </si>
  <si>
    <t>وحتليل سلوكها مزودة بعدسة ذات بعد متغري كامريا خاصة بلوحات السيارات مزودة بتقنية الذكاء الصناعي لتمييز األشخاص والسيارات</t>
  </si>
  <si>
    <t>Motorized 2.8 - 12 mm</t>
  </si>
  <si>
    <t>16</t>
  </si>
  <si>
    <t>iDS-2CD7A86G2 -IZHSY(2.8 -12mm)(O -STD)</t>
  </si>
  <si>
    <t>وخصائص البشر-تصفية اإلنذارات الكاذبة متنحك صوراً ملونة واضحة جداً -قادرة على التعرف على لوحات السيارات وحتليل خصائص املركبات 2.0: DarkFighter تقنية -يغطي مسافة تصل إىل 60 مرتاً يف الظالم التام (IR) تصوير بدقة 8 ميجابكسل -عدسة متغرية- نظام األشعة حتت احلمراء املتطور</t>
  </si>
  <si>
    <t>2.8 - 12 mm</t>
  </si>
  <si>
    <t>17</t>
  </si>
  <si>
    <t>DS-2CD1763G2-LIZSU</t>
  </si>
  <si>
    <t>2.0 Motion كامريا شبكية قبة متغرية البؤرة بدقة 6 ميجابكسل بتقنية اإلضاءة املزدوجة</t>
  </si>
  <si>
    <t>DS-2CD2687G3-LIZS2UY/SRB(2.8-12mm)/O- STD</t>
  </si>
  <si>
    <t>وعدسة متغرية البؤرة آلية - من اجليل الثالث كامريا شبكية ذكية هجينة بدقة 8 ميجابكسل مزودة إبضاءة ColorVu</t>
  </si>
  <si>
    <t>19</t>
  </si>
  <si>
    <t>DS-2CD2667G3 -LIZS2UY/SRB(2.8 -12mm)/O - STD</t>
  </si>
  <si>
    <t>ومتغرية البؤرة آلية ColorVu من اجليل الثالث كامريا شبكية ذكية هجينة إبضاءة 6 ميجابكسل مزودة بتقنية</t>
  </si>
  <si>
    <t>20</t>
  </si>
  <si>
    <t>HM-TD2628T-3/G1/T3A(O-STD)</t>
  </si>
  <si>
    <t>2 M</t>
  </si>
  <si>
    <t>إنذار مدمج: تطلق صوتاً وفالشاً تحذيرياً. مقياس حرارة: من -20( تحت الصفر إلى °650 مئوية). كاشف حريق: يستشعر النار والتدخين فوراً. عدسة مزدوجة: (حرارية + عادية 5 ميغا).</t>
  </si>
  <si>
    <t>21</t>
  </si>
  <si>
    <t>HM-TD2628T-7/G1/T3A</t>
  </si>
  <si>
    <t>رؤاي ليلية ملونة حىت مسافة 60 م احلرارة أو حىت جمرد انبعاث الدخان خاصة مبحطات شحن الكهرابء واملستودعات واملعامل لإلنذار املبكر عن أي ارتفاع أو اخنفاض يف درجة كامريا حرارية للكشف عن الدخان واحلرارة من 20- حىت 650+</t>
  </si>
  <si>
    <t>8 mm</t>
  </si>
  <si>
    <t>22</t>
  </si>
  <si>
    <t>DS-2XT6645G0 -LIZS/C25(2.8 -12mm)(O -STD)</t>
  </si>
  <si>
    <t>حماية فوالذية: جسم خارجي من الفوالذ المقاوم للصدأ مع أعلى حماية ضد الماء. عدسة متحركة: زوم ذكي 2.8( إلى 12 مم) للتقريب والتركيز على اآلالت. دقة 4 ميغا: تصوير نقي جداً ومقاوم إلنعكاسات اإلضاءة القوية واألبخرة. مقاومة أفران: تتحمل حرارة مرعبة تصل إلى °250 مئوية عبر تبريد مائي مدمج.</t>
  </si>
  <si>
    <t>DS-2CFWQ5(2.8mm)(O-STD)/EU</t>
  </si>
  <si>
    <t>ختزين داخلي مستقل: تدعم تركيب بطاقة ذاكرة )MicroSD( للتسجيل املباشر دون جهاز. اتصال صويت وتتبع ذكي: مزودة مبايكروفون ومساعة، وتكشف حركة البشر تلقائياً. رؤية ليلية ملونة: تصوير ليلي ملون ابلكامل عند استشعار أي حركة. دقة فائقة 5 ميغابكسل: متنحك صوراً عالية النقاء )3K( وعدسة واسعة الزاوية. اتصال السلكي ومتحركة: تعمل عرب الـ )Wi-Fi( وتتحرك عن بُعد لتغطية شاملة.</t>
  </si>
  <si>
    <t>2.8 mm</t>
  </si>
  <si>
    <t>DS-7604NXI-K1/4P</t>
  </si>
  <si>
    <t>12 M</t>
  </si>
  <si>
    <t>مسجل شبكي 4 قناة مع POE مع ذكاء صناعي Acusense</t>
  </si>
  <si>
    <t>DS-7604NXI-K1/4P(STD)(B)</t>
  </si>
  <si>
    <t>مزود أبربعة قنوات PoE ووحدة واحدة جهاز تسجيل فيديو شبكي 4K AcuSense</t>
  </si>
  <si>
    <t>DS-7608NXI-K1/8P</t>
  </si>
  <si>
    <t>مسجل شبكي 8 قناة مع POE مع ذكاء صناعي Acusense</t>
  </si>
  <si>
    <t>DS-7608NXI-K1(STD)(B)</t>
  </si>
  <si>
    <t>اعتمد تقنية Acusense Hikvision لتقليل اجلهد اليدوي وتكاليف األمن عرض نطاق ترددي وارد يصل إىل 80 ميجابت يف الثانية ميجابكسل أو مثاين قنوات بدقة 1080 بكسل بدقة 4 قدرة فك تشفري تصل إىل قناة واحدة بدقة 12 ميجابكسل أو قناتني بدقة 8 ميجابكسل أو أربع قنوات تنسيقات الفيديو H.265+/H.265/H.264+/H.264 يدعم ما يصل إىل 8 قنوات إدخال لكامريات IP</t>
  </si>
  <si>
    <t>DS-7616NXI-K2</t>
  </si>
  <si>
    <t>جهاز تسجيل فيديو شبكي 4K AcuSense من سلسلة K ذو 16 قناة ووحدة واحدة</t>
  </si>
  <si>
    <t>IDS-7716NXI-M4/X</t>
  </si>
  <si>
    <t>32 M</t>
  </si>
  <si>
    <t>الوجوه، قراءة اللوحات، وفلرتة اإلنذارات الكاذبة بدقة .%90 مسجل شبكي 16 - يتسع لرتكيب 4 هاردات - مع ذكاء اصطناعي - معاجل خارق للتعرف على</t>
  </si>
  <si>
    <t>DS-7616NXI-I2/16P/VPro(STD)</t>
  </si>
  <si>
    <t>مدخالت كامريات IP تصل إىل 16 قناة جهاز تسجيل فيديو شبكي من سلسلة I/VPro مزود بتقنية AcuSeek</t>
  </si>
  <si>
    <t>DS-7716NXI-I4/VPro(STD)</t>
  </si>
  <si>
    <t>لتعرف على الوجه بدقة تصل إىل 8 قنوات لصور الوجه وظيفة AcuSeek و AcuSearch حىت 16 قناة حتليالت ذكية تعتمد على مناذج الذكاء االصطناعي واسعة النطاق من غوانالن تنسيقات الفيديو H.265+/H.265/H.264+/H.264</t>
  </si>
  <si>
    <t>DS-7732NXI-K4</t>
  </si>
  <si>
    <t>التخزين 4: × 10TB Sata H.D.D إمكانية ربط كامريات حىت دقة 12M أمناط العمل : H.265+/H.265/H.264+/H.264 إمكانية ربط حىت 32 كامريا IP 32 CH</t>
  </si>
  <si>
    <t>iDS-9632NXI-M8/X</t>
  </si>
  <si>
    <t>ابيت مع ميزة النسخ االحتياطي RAID وإضافة حىت 8 هاردات سعة كل واحد منها يصل حىت 16 تريا مسجل شبكي 32 قناه مع ذكاء صناعي متطور DeepinMind للتعرف على األشخاص والوجوه</t>
  </si>
  <si>
    <t>DS-7732NXI-I4/VPro(STD)</t>
  </si>
  <si>
    <t>التعرف على الوجه بدقة تصل إىل 8 قنوات لصور الوجه حىت 32 قناة AcuSearch و AcuSeek وظيفة حتليالت ذكية تعتمد على مناذج الذكاء االصطناعي واسعة النطاق من غوانالن تنسيقات الفيديو H.265+/H.265/H.264+/H.264</t>
  </si>
  <si>
    <t>DS-7632NXI-K2(E)</t>
  </si>
  <si>
    <t>جهاز تسجيل فيديو شبكي 4K AcuSense من سلسلة 32 ،K قناة، وحدة واحدة</t>
  </si>
  <si>
    <t>DS-9664NXI-I16R/VPro(STD)</t>
  </si>
  <si>
    <t>التعرف على الوجه بدقة تصل إىل 8 قنوات لصور الوجه وظيفة AcuSeek و AcuSearch حىت 64 قناة حتليالت ذكية تعتمد على مناذج الذكاء االصطناعي واسعة النطاق من غوانالن حتليالت ذكية تعتمد على مناذج الذكاء االصطناعي واسعة النطاق من غوانالن تنسيقات الفيديو H.265+/H.265/H.264+/H.264</t>
  </si>
  <si>
    <t>Analogue CAMERA</t>
  </si>
  <si>
    <t>DS-2CE76D0T-EXIPF</t>
  </si>
  <si>
    <t>كامريا داخلية</t>
  </si>
  <si>
    <t>2.8</t>
  </si>
  <si>
    <t>DS-2CE16H0T-ITPF</t>
  </si>
  <si>
    <t>5 M</t>
  </si>
  <si>
    <t>Outdoor Camera</t>
  </si>
  <si>
    <t>2.8m</t>
  </si>
  <si>
    <t>DS-2CE76H0T-ITPFS</t>
  </si>
  <si>
    <t>تصوير ليلي واضح يف الظالم الدامس ملسافة تصل إىل 20 مرتاً. رؤية ليلية خفية )IR( ميكروفون مدمج (صوت وصورة) كامريا داخلية</t>
  </si>
  <si>
    <t>DS-2CE17H0T-IT5F</t>
  </si>
  <si>
    <t>كاميرا داخلية رؤية ليلية خارقة 80( متراً)</t>
  </si>
  <si>
    <t>3.6</t>
  </si>
  <si>
    <t>DS-2CE76K0t-LPFS</t>
  </si>
  <si>
    <t>ميكروفون مدمج (صوت وصورة) وضوء أبيض يعمل تلقائياً ليالً لتحويل التصوير إىل اللون الكامل عند رصد حركة. إضاءة هجينة ذكية Hybrid( :)Smart حتتوي على نوعني من اإلضاءة؛ أشعة حتت محراء خفية، كامريا داخلي ملونة</t>
  </si>
  <si>
    <t>DS-2CE16K0T-LFS(2.8mm)(O-STD)</t>
  </si>
  <si>
    <t>ميكروفون مدمج (صوت وصورة) 20( مرتاً) ملنحك تصويراً ليلياً ملوانً عند رصد أي حركة. إضاءة هجينة ذكية Hybrid( :)Smart تدمج بني األشعة حتت احلمراء 30( مرتاً) والضوء األبيض كامريا خارجي ملونة</t>
  </si>
  <si>
    <t>DS-2CE16K0T-EXLPF(2.8mm)(O-STD)</t>
  </si>
  <si>
    <t>ال حتتوي على ميكرفون مدمج والضوء األبيض املانح لصور ليلية ملونة ابلكامل عند استشعار احلركة. إضاءة هجينة ذكية Hybrid( :)Smart تدمج بني األشعة حتت احلمراء للرؤية الليلية التقليدية، كامريا خارجي ملونة</t>
  </si>
  <si>
    <t>DS-2CC52H1T-FITS</t>
  </si>
  <si>
    <t>عادية ابنورامية Channles 4 FISHEYE</t>
  </si>
  <si>
    <t>1.1</t>
  </si>
  <si>
    <t>DS-2CE16U1T-ITPF</t>
  </si>
  <si>
    <t>ميكروفون مدمج مقاومة للماء والغبار )IP67( رؤاي ليلية ملونة بتقنية الضوء اهلجني حىت 02م ملون و 30 م IR كامريا خارجية</t>
  </si>
  <si>
    <t>DS-2CE12KF3T-LS(2.8mm)(O-STD)</t>
  </si>
  <si>
    <t>ميكروفون مدمج (صوت وصورة) إضاءة هجينة ذكية Light( Hybrid )Smart تصوير ملون دائم )ColorVu( كامريا ضوء أبيض إنذار لتحسس األشخاص</t>
  </si>
  <si>
    <t>DS-7104HQHI-K1</t>
  </si>
  <si>
    <t>2M</t>
  </si>
  <si>
    <t>إمكانية توصيل ما يصل إىل ست كامريات شبكية مخسة مدخالت إشارة قابلة للتكيف )HDTVI/AHD/CVI/CVBS/IP( قدرة ترميز تصل إىل 1080p مبعدل 15 إطاًرا يف الثانية تقنية ضغط pro +H.265 عالية الكفاءة جهاز تسجيل فيديو رقمي صغري احلجم أبربعة قنوات وقرص صلب واحد مسجل رابعي</t>
  </si>
  <si>
    <t>DS-7104HUHI-K1</t>
  </si>
  <si>
    <t>10TB Sata H.D.D × التخزين 1: lite Mالتسجيل بدقة : 8 ، Mالعرض بدقة : 8 USB + VGA + LAN + HDMI املخارج : 1 املداخل : 4 صورة + 1 صوت CH 4</t>
  </si>
  <si>
    <t>iDS-7204HQHI-M1/XT(STD)</t>
  </si>
  <si>
    <t>هارد ديسك واحد ذكاء اصطناعي: معاجل ذكي للتعرف على الوجوه وتصنيف حركة البشر والسيارات ملنع اإلنذارات الكاذبة. مسجل فيديو رقمي AcuSense رابعي القنوات</t>
  </si>
  <si>
    <t>IDS-7204HQHI-M1/S</t>
  </si>
  <si>
    <t>ميكن توصيل ما يصل إىل 6 كامريات شبكية. يدعم إدخال 5 إشارات )HDTVI/AHD/CVI/CVBS/IP( بشكل تكيفي. قدرة ترميز تصل إىل Lite 3K/5M مبعدل 12 إطاًرا يف الثانية. تقنية ضغط pro +H.265 عالية الكفاءة. يُقلل اإلنذارات الكاذبة من خالل تصنيف األهداف البشرية واملركبات ابستخدام التعلم العميق. جهاز تسجيل فيديو رقمي AcuSense حبجم U1، مزود أبربع قنوات وقرص صلب واحد. مسجل فيديو 4 قناة</t>
  </si>
  <si>
    <t>IDS-7204HUHI-M1/XT</t>
  </si>
  <si>
    <t>جهاز مسجل رابعي لكامريات دقة حىت 8 ميغا مزود مبيزة ذكاء صناعيesnesucA</t>
  </si>
  <si>
    <t>DS-7108HGHI-k1/S</t>
  </si>
  <si>
    <t>1 M</t>
  </si>
  <si>
    <t>أقصى مدى إلشارة HDTVI بدقة 720p هو 1200 مرت إمكانية ترميز تصل إىل Lite 1080p مبعدل 15 إطاًرا يف الثانية حىت 10 قنوات إدخال لكامريات IP (حىت 5 ميجابكسل) صوت عرب كابل حموري مدخالت فيديو HDTVI/AHD/CVI/CVBS/IP ضغط الفيديو Pro/H.265 Pro+/H.265 H.265 مسجل فيديو 8 قناة</t>
  </si>
  <si>
    <t>DS-7108HQHI-K1</t>
  </si>
  <si>
    <t>إمكانية توصيل ما يصل إىل 12 كامريا شبكية 5 مدخالت إشارات قابلة للتكيف )HDTVI/AHD/CVI/CVBS/IP( قدرة ترميز تصل إىل 1080p مبعدل 15 إطاًرا يف الثانية تقنية ضغط pro +H.265 عالية الكفاءة جهاز تسجيل فيديو رقمي صغري احلجم مزود بـ 8 قنوات وقرص صلب واحد مسجل فيديو 8 قناة</t>
  </si>
  <si>
    <t>IDS-7208HUHI-M1/XT</t>
  </si>
  <si>
    <t>جهاز مسجل مثاين لكامريات دقة حىت 8 ميغا مزود مبيزة ذكاء صناعيesnesucA</t>
  </si>
  <si>
    <t>IDS-7216HQHI-M1/XT</t>
  </si>
  <si>
    <t>6M / 3K</t>
  </si>
  <si>
    <t>جهاز مسجل ر61 قناة لكامريات دقة حىت 6 ميغا مزود مبيزة ذكاء صناعيesnesucA</t>
  </si>
  <si>
    <t>IDS-7216HUHI-M2/XT</t>
  </si>
  <si>
    <t>جهاز مسجل 16 قناة لكامريات دقة حىت 8 ميغا مزود مبيزة ذكاء صناعيesnesucA</t>
  </si>
  <si>
    <t>DVR - قناة iDS-7232HQHI-M2/XT(STD)-32</t>
  </si>
  <si>
    <t>10TB Sata H.D.D × التخزين 2: lite Mالتسجيل بدقة : 5 ، Mالعرض بدقة : 5 USB + VGA + LAN + HDMI املخارج : 1 املداخل : 32 صورة + 1 صوت CH 16</t>
  </si>
  <si>
    <t>DS-MH2311/64G/GLE</t>
  </si>
  <si>
    <t>ارتفاع 1.8 م الوجوه حىت يف األماكن املختلفة اإلضاءة ، مقاومة للماء والغبار ومقاومة للسقوط حىت كامريا حممولة على اجلسم مع التعرف على املوقع واملتابعة بشكل حلظي مع التعرف على</t>
  </si>
  <si>
    <t>DS-MCC216/64G/WIFI</t>
  </si>
  <si>
    <t>للبطارية كامريا لوحة امسية مناسبة لإلرتداء لفرتات طويلة بفضل وزهنا اخلفيف واستهالكها الطويل</t>
  </si>
  <si>
    <t>RX300-3-2010SS-1(O-STD)</t>
  </si>
  <si>
    <t>مقاومة للطقس: هيكل خارجي متين ومقاوم ألشعة الشمس والظروف الجوية [1.2.1، .]1.4.2 قطر 300 ملم: حجم كبير للعدسات يضمن الرؤية بوضوح من مسافات بعيدة. عداد تنازلي: شاشة رقمية تعرض الثواني المتبقية لتغير لون اإلشارة [1.2.1، .]1.4.2 شارة ثالثية: تضم األلوان المعيارية (األحمر، األصفر، األخضر) لتنظيم السير.</t>
  </si>
  <si>
    <t>DS-2DE7A825IW-AEB(O-STD)(T5)</t>
  </si>
  <si>
    <t>DS-2SE7C432MW-AEB(14F1)(O-STD)(P3)- TandemVu</t>
  </si>
  <si>
    <t>​​Dome Speed Network كامريا 4+4 TandemVu ميجابكسل ColorVu 32X و Acusense IR</t>
  </si>
  <si>
    <t>DS-2SF8C425MXG1-ELWY/14(F1)(O-STD)</t>
  </si>
  <si>
    <t>8C TandemVu بدقة 4 ميجابكسل وتكبري X52، قبة سرعة شبكية DarkFighter</t>
  </si>
  <si>
    <t>)مسجل للسيارات والباصات ( MVR ONBoard</t>
  </si>
  <si>
    <t>Dash cam AE-DN2016-F3</t>
  </si>
  <si>
    <t>كامريا داش (كامريا للسيارة) مع Wi-Fi وrosneS-G</t>
  </si>
  <si>
    <t>AE-DI2032-G40(B)(EU)(Integrated)</t>
  </si>
  <si>
    <t>يدعم نظام حتديد املواقع العاملي )GPS( وعرض السرعة على الصورة يدعم 3 قنوات فيديو، وقناة صوتية واحدة 1( )CH دقة تصل إىل 1080 بكسل كامريا تسجيل القيادة الصناعية</t>
  </si>
  <si>
    <t>DS-3E0106P-E/M</t>
  </si>
  <si>
    <t>4 PORT</t>
  </si>
  <si>
    <t>سويتش شبكة رابعي غري قابل لإلدارة Unmaneged بسرعة 10/100 × 4</t>
  </si>
  <si>
    <t>DS-3E0109P-E/M</t>
  </si>
  <si>
    <t>8 PORT</t>
  </si>
  <si>
    <t>سويتش شبكة مثاين غري قابل لإلدارة Unmaneged بسرعة 10/100 × 8</t>
  </si>
  <si>
    <t>DS-3E0510P-E/M</t>
  </si>
  <si>
    <t>سويتش 8 بورت غري قابل لإلدارة Mbps) (10/100/1000 Unmaneged</t>
  </si>
  <si>
    <t>DS-3E1510P-EI(O-STD)V2</t>
  </si>
  <si>
    <t>8 منافذ جيجابت EoP، منفذان جيجابت RJ45</t>
  </si>
  <si>
    <t>DS-3E1318P-EI</t>
  </si>
  <si>
    <t>16 PORT</t>
  </si>
  <si>
    <t>16 منفذ PoE (بسرعة )10/100 - Switch PoE Managed Smart</t>
  </si>
  <si>
    <t>DS-3E1326P-EI(O-STD)V2</t>
  </si>
  <si>
    <t>24 PORT</t>
  </si>
  <si>
    <t>PoE بسرعة 10/100 سويتش 24 بورت</t>
  </si>
  <si>
    <t>DS-3E1528HP -SI-24P2T2F(O -STD)</t>
  </si>
  <si>
    <t>الحماية: مزود بنظام حماية ضد الصواعق والكهرباء الساكنة حتى 6 كيلو فولت. Hik-Connect بسهولة. التحكم الذكي: مبدل مدار Managed( )Smart يمكن مراقبته والتحكم به عن بُعد وعبر تطبيق (سرعة 10/100/1000 ميجابت/ثانية) دعم الـ PoE حيتوي على 28 منفذاً</t>
  </si>
  <si>
    <t>DS-3E1528P-EI/M(O-STD)</t>
  </si>
  <si>
    <t>24 منفذ جيجابت RJ45 EoP، منفذان جيجابت 54JR، منفذان لأللياف الضوئية جيجابت حمول جيجابت ذكي بتقنية PoE ذو 24 منفذ</t>
  </si>
  <si>
    <t>DS-3E2528(B)</t>
  </si>
  <si>
    <t>إدارة كاملة Managed( )Full مجيع املنافذ تعمل بسرعة Mbps (10/100/1000) Gigabit بدون طاقة )Non-PoE( حمول جيجابت ُمدار ابلكامل ذو 28 منفًذا</t>
  </si>
  <si>
    <t>DS-1LN6AFPSL4-Cat6A SFTP LSZH Dca -</t>
  </si>
  <si>
    <t>Halogen( Zero Smoke woL)، وهو مطلوب للمشاريع الكربى واملباين احلكومية. غالف خارجي خاص مقاوم للحريق؛ ويف حال تعرضه لالحرتاق ال يفرز غازات سامة أو دخاانً كثيفاً )PoE( ملسافات طويلة. األكسجني 23AWG( Copper eruP)، مما يوفر أقل مقاومة للتيار وأفضل أداء خلطوط الطاقة خامة النحاس Copper( :)Solid الشعريات الداخلية مصنعة من النحاس النقي اخلايل من كبل - مقاوم للحريق</t>
  </si>
  <si>
    <t>DS-1LN6AUUC0-</t>
  </si>
  <si>
    <t>دعم الـ :PoE متوافق متاماً مع نقل الطاقة عرب الشبكة )PoE( واجتاز اختبارات Fluke بنجاح خامة النحاس: مصنوع من النحاس النقي الصايف كبل UTP 6A Cat</t>
  </si>
  <si>
    <t>305</t>
  </si>
  <si>
    <t>DS-1LN6U-G-</t>
  </si>
  <si>
    <t>الغالف اخلارجي: مصنوع من مادة الـ PVC املقاومة لعوامل التمديد ابللون الرمادي. داخل األانبيب واجلدران. التدريع (العزل): غري مدرع (PTU/U)، وهو كابل مرن، خفيف الوزن، وسهل السحب والتمديد GWA32، مما يضمن أقل مقاومة للكهرابء. خامة النحاس: حناس نقي صايف بنسبة %99.95 Copper( Bare )Solid بسماكة كبل UTP CAT6</t>
  </si>
  <si>
    <t>DS-1LN6OFPUPE</t>
  </si>
  <si>
    <t>موصل حناسي صلب ذو مقاومة أقل، وخصائص كهرابئية أفضل وأداء نقل أفضل كابل SFTP Cat6 - مقاس 23 AWG - لالستخدام اخلارجي</t>
  </si>
  <si>
    <t>DS-1LH1SCAR1742C-</t>
  </si>
  <si>
    <t>سلك رفيع ومرن ليسهل سحبه ومتديده داخل اجلدران واألانبيب الضيقة حممي بطبقة قصدير وشبكة عازلة متنع تداخل املوجات الكهرابئية مع الصورة لنواة الداخلية مصنوعة من النحاس الصايف كابل كامريات مراقبة تناظرية HD( )Analog مدمج، ينقل الصورة والكهرابء معاً يف سلك واحد كبل كوأوكسيال</t>
  </si>
  <si>
    <t>100</t>
  </si>
  <si>
    <t>200</t>
  </si>
  <si>
    <t>شاشات تفاعلية INTERACTIVE</t>
  </si>
  <si>
    <t>DS-D5C65RB/A</t>
  </si>
  <si>
    <t>شاشة تفاعلية 65 إنش</t>
  </si>
  <si>
    <t>H - إنش شاشة تفاعلية DS-D5C65RB/B2L(O-STD)(EDLA)-65</t>
  </si>
  <si>
    <t>شاشة تفاعلية بدقة 4K مقاس 65 بوصة</t>
  </si>
  <si>
    <t>DS -D5C86RB/A</t>
  </si>
  <si>
    <t>شاشة تفاعلية 86 انش</t>
  </si>
  <si>
    <t>Wireless Alarm</t>
  </si>
  <si>
    <t>DS-PWA64-KIT-WB</t>
  </si>
  <si>
    <t>بطارية طوارئ: بطارية داخلية مدجمة ابللوحة تعمل تلقائياً عند انقطاع الكهرابء وتدوم حىت 12 ساعة أتمني اإلشارة: تشفري قوي مينع التشويش أو اخرتاق اإلشارات الالسلكية بني احلساسات واللوحة اخرتاق التنبيه الفوري: يرسل إشعارات حية ومباشرة هلاتفك عرب تطبيق Hik-Connect فور حدوث أي التنبيهات وسائل االتصال: يتصل ابإلنرتنت عرب الواي فاي، أو كابل الشبكة، أو شرحية املوابيل )SIM( إلرسال القدرة الالسلكية: يستوعب ربط وتوصيل ما يصل إىل 64 حساساً السلكياً (مناطق محاية) بُعد حمتوايت الطقم: يتكون من لوحة حتكم مركزية، وحساس حركة، وحساس ابب/انفذة، ورميوت حتكم عن جهاز إنذار السلكي</t>
  </si>
  <si>
    <t>مقاسم اهلاتف Phones SIP IP</t>
  </si>
  <si>
    <t>DS-KP8000-WHE1</t>
  </si>
  <si>
    <t>هاتف IP بشاشة 2.8 إنش ملونة</t>
  </si>
  <si>
    <t>انرتفون Intercome</t>
  </si>
  <si>
    <t>DS-KH6350-WTE1</t>
  </si>
  <si>
    <t>اجلرس يف غيابك. تدعم تركيب كارت ذاكرة )MicroSD( لتسجيل لقطات وصور لألشخاص الذين ضغطوا على ميكنك من خالهلا استعراض كامريات املراقبة Cameras( )IP املوجودة يف منزلك مباشرة على الشاشة. من أي مكان يف العامل. تتيح لك استقبال مكاملات اجلرس، ورؤية الزائر، وفتح الباب عن بُعد عرب تطبيق Hik-Connect تعمل وتستقبل الطاقة مباشرة عرب كابل الشبكة )PoE( تدعم االتصال الالسلكي عرب الواي فاي )Wi-Fi( أو كابل الشبكة العادي. ملونة تعمل ابللمس شاشة إنرتفون 7 إنش</t>
  </si>
  <si>
    <t>Ds-KV8113-WME1-WME1 HIK 1 Button Metal</t>
  </si>
  <si>
    <t>يدعم فتح األقفال اإللكرتونية عن بُعد وعرب بطاقات الدخول املمغنطة. يعمل عرب الواي فاي أو كابل الشبكة، ويدعم ميزة الطاقة عرب الكابل .)PoE( يدعم الرؤية الليلية التلقائية بوضوح حىت يف الظالم الدامس كامريا بدقة 2 ميجابكسل كبسة انرتفون مع كامريا-زر واحد</t>
  </si>
  <si>
    <t>DS-KIS604-P(C)</t>
  </si>
  <si>
    <t>القفل اإللكرتوين مباشرة من هاتفك عرب تطبيق Hik-Connect من أي مكان. مبجرد ربط الطقم ابإلنرتنت، ميكنك استقبال رانت اجلرس، التحدث مع الزائر (صوت وصورة)، وفتح .)PoE( يدعم النظام ابلكامل شبكات الواي فاي أو كابالت الشبكة العادية، مع دعم تقنية الطاقة عرب الكابل )fobs لفتح الباب للمالكني. امللحقات األساسية: قاعد تثبيت جدارية، وحموالت طاقة (USP)، و 5 ميداليات ممغنطة Key( بطاقة ختزين Card( TF :)16GB مدجمة مع الطقم لتسجيل صور الزوار وفيديوهاهتم. الباب. الشاشة الداخلية :)DS-KH6320( شاشة ملونة ملس مقاس 7 بوصة الستقبال املكاملات وفتح وزر اتصال واحد. اجلرس اخلارجي :)DS-KV8113( بكامريا 2 ميجابكسل، وجسم معدين مضاد للتخريب واألمطار، مكوانت الصندوق املتكاملة:</t>
  </si>
  <si>
    <t>وحدة انرتفون-6E-3003DK-SD</t>
  </si>
  <si>
    <t>جسم معدين ضد الصدمات واألمطار (56PI)، ويعمل بطاقة كابل الشبكة .)PoE( يفتح الباب عرب (الرمز السري، البطاقات املمغنطة، أو تطبيق اهلاتف). الكامريا: دقة 2 ميجابكسل مع رؤية ليلية واضحة جداً. لوحة إنرتكم رئيسية للعمارات واألبراج السكنية، حتتوي على شاشة ولوحة أرقام لطلب رقم الشقة. حمطة ابب IP مقاس 3.5 بوصة</t>
  </si>
  <si>
    <t>DS-KD-ACW3</t>
  </si>
  <si>
    <t>إطار تثبيت خارجي ثالثي ل االنترفون</t>
  </si>
  <si>
    <t>DS-KAB34X-S1</t>
  </si>
  <si>
    <t>غطاء محاية خارجي واٍق من املطر والشمس ل االنرتفون</t>
  </si>
  <si>
    <t>DS-KAB6-ZU1</t>
  </si>
  <si>
    <t>خمصص لرتكيب أجهزة بصمة الوجه فوق البواابت اإللكرتونية الذكية حامل معدين عمودي،</t>
  </si>
  <si>
    <t>DS-KAB6-W1(O-NEU)</t>
  </si>
  <si>
    <t>قاعدة جهاز دوام متحركة</t>
  </si>
  <si>
    <t>DS-KD-K12</t>
  </si>
  <si>
    <t>(الكاميرا) دون تمديد كهرباء منفصل. تصل عبر منفذ RS-485 ويستمد طاقته مباشرة من الموديول الرئيسي لإلنتركم محمي تماماً ضد األمطار والغبار (لخدمة عمارات تصل إلى 72 شقة). يمكن توصيل وربط حتى 6 وحدات من هذا الموديول معاً على نفس اللوحة الرئيسية الليل. األزرار واألسماء مدعومة بإضاءة خلفية )LED( واضحة جداً ليسهل استخدامها في عليها. بجانب كل زر توجد خانة مخصصة لكتابة اسم الساكن أو رقم الشقة لتسهيل التعرف حتى 12 شقة). حيتوي على 12 زراً فيزيائياً ميكانيكياً، كل زر مخصص لالتصال بشقة مستقلة (يكفي</t>
  </si>
  <si>
    <t>صوتيات امبلي فاير مع سبيكرات SPEAKER</t>
  </si>
  <si>
    <t>DS-QAE1A80G1-VB(O-STD)/EU</t>
  </si>
  <si>
    <t>مدخل الصوت: USB/Bluetooth/MIC/RCA مضخم صوت شبكي ثنائي املنطقة بقدرة 80 واط امبلي فاير IP</t>
  </si>
  <si>
    <t>DS-QAZ1110G1-B (O-STD) / EU</t>
  </si>
  <si>
    <t>مكرب صوت شبكي بقوة 10 واط</t>
  </si>
  <si>
    <t>DS-QAZ1110G1R-BE(O-STD)/BLACK</t>
  </si>
  <si>
    <t>مكرب صوت خلزانة الشبكة بتقنية POE بقوة 10 واط</t>
  </si>
  <si>
    <t>DS-QAZ1506G1-BE (O-STD)</t>
  </si>
  <si>
    <t>مكرب صوت معلق شبكي بتقنية PoE بقوة 6 واط</t>
  </si>
  <si>
    <t>EZVIZ CS-EB3-R100-1K3FL4GA</t>
  </si>
  <si>
    <t>كما توفر الكامريا خياراً بديالً وهو التخزين السحايب Cloud( )EZVIZ تدعم تركيب بطاقة ذاكرة شحن ابلطاقة الشمسية: ميكن ربطها بلوح مشسي صغري لتشحن نفسها ذاتياً مستشعر ذكي: متيز حركة البشر لتقليل اإلنذارات الكاذبة وتطلق صفارة وفالشاً لتخويف اللصوص دقة تصوير عالية، مع رؤية ليلية ملونة ابلكامل عمل السلكياً ابلكامل ببطارية تدوم حىت 4 أشهر بشحنة واحدة كامريا واي فاي</t>
  </si>
  <si>
    <t>وايرس أدابرت ADAPTER WIReless</t>
  </si>
  <si>
    <t>DS-3WRU3X-I</t>
  </si>
  <si>
    <t>دنغل لتحويل RVDأو nvr إىل شبكة السلكية</t>
  </si>
  <si>
    <t>DS-3WR12C</t>
  </si>
  <si>
    <t>راوتر شبكة ال سلكي</t>
  </si>
  <si>
    <t>DS-3WF0EC-2NT</t>
  </si>
  <si>
    <t>مرسل ومستقبل 500 مرت</t>
  </si>
  <si>
    <t>DS-3WAP621E-SI</t>
  </si>
  <si>
    <t>نقطة اتصال السلكية داخلي للفنادق واملكاتب</t>
  </si>
  <si>
    <t>DS-3WAP522-SI</t>
  </si>
  <si>
    <t>راوتر سقفي مدور</t>
  </si>
  <si>
    <t>DS-K1T344MBWX-QRE1</t>
  </si>
  <si>
    <t>حتكم بفتح األبواب عند الدخول مستخدم عن طريق الوجه ، إمكانية الدخول عن طريق رمز QR خاص لكل زائر ، خمرج ريليه لربط جهاز تسجيل دوام عن طريق ( وجه - كرت ) ، شاشة ملونة 4.5 إنش ، إضافة حىت 3000</t>
  </si>
  <si>
    <t>DS-K1T341CMF</t>
  </si>
  <si>
    <t>األبواب عند الدخول 3000 مستخدم عن طريق الوجه + 3000 بصمة + 3000 كرت ، خمرج ريليه لربط حتكم بفتح جهاز تسجيل دوام عن طريق ( وجه - بصمة - كرت ) ، شاشة ملونة 4.3 إنش ، إضافة حىت</t>
  </si>
  <si>
    <t>DS-1M6AUA</t>
  </si>
  <si>
    <t>هناايت شبكية RJ45 حناسية</t>
  </si>
  <si>
    <t>DS-1CK6AU180T</t>
  </si>
  <si>
    <t>كيستون شبكة Cat6A</t>
  </si>
  <si>
    <t>DS-1CP0P24-1U</t>
  </si>
  <si>
    <t>Patch Panel</t>
  </si>
  <si>
    <t>DS-1CM1U12</t>
  </si>
  <si>
    <t>منظم كابالت خزانة شبكة 1U</t>
  </si>
  <si>
    <t>DS-1NP6UEC0</t>
  </si>
  <si>
    <t>وصالت شبكة جاهزة cord Patch طول 0.5 م لون أبيض</t>
  </si>
  <si>
    <t>DS-1NP6AEL0</t>
  </si>
  <si>
    <t>وصالت شبكة جاهزة cord Patch طول 1 م لون أزرق</t>
  </si>
  <si>
    <t>DS-1278ZJ-HWB/HG/60-300</t>
  </si>
  <si>
    <t>طوق ودعامة</t>
  </si>
  <si>
    <t>DS-1275ZJ/HWB</t>
  </si>
  <si>
    <t>DS-1292ZJ</t>
  </si>
  <si>
    <t>DS-1280ZJ-DM25</t>
  </si>
  <si>
    <t>DS-1280ZJ-DM18</t>
  </si>
  <si>
    <t>DS-1258ZJ</t>
  </si>
  <si>
    <t>DS-1232ZJ-T/BJH/Anti-corrosion</t>
  </si>
  <si>
    <t>DS-1701ZJ/HWB/316</t>
  </si>
  <si>
    <t>DS-1FPA2(O-STD) 20PCS</t>
  </si>
  <si>
    <t>IDS-TCVC00-HE</t>
  </si>
  <si>
    <t>كامريا نقطة تفتيش بدقة 20 ميجابكسل كامريا نقطة تفتيش بدقة 12 ميجابكسل</t>
  </si>
  <si>
    <t>IDS-TCVK00-HE</t>
  </si>
  <si>
    <t>20 M</t>
  </si>
  <si>
    <t>DS-TL3001B</t>
  </si>
  <si>
    <t>مصباح</t>
  </si>
  <si>
    <t>DS-TP50-08I</t>
  </si>
  <si>
    <t>Terminal Serve</t>
  </si>
  <si>
    <t>DS-TDSB00-EMM</t>
  </si>
  <si>
    <t>رادار قياس السرعة متعدد األهداف</t>
  </si>
  <si>
    <t>DS-K3H4410-120/Pg-Dm60(O-STD)</t>
  </si>
  <si>
    <t>بوابة دوارة كاملة االرتفاع</t>
  </si>
  <si>
    <t>سعر الجملة</t>
  </si>
  <si>
    <t>سعر جملة الجملة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</si>
</sst>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1"/>
      <color rgb="FFFFFFFF"/>
      <name val="Arial"/>
      <family val="2"/>
    </font>
    <font>
      <sz val="10"/>
      <name val="Arial"/>
      <family val="2"/>
    </font>
    <font>
      <sz val="11"/>
      <color theme="1"/>
      <name val="Arial"/>
      <family val="2"/>
      <scheme val="minor"/>
    </font>
    <font>
      <b/>
      <sz val="10"/>
      <color theme="1"/>
      <name val="Arial"/>
      <family val="2"/>
    </font>
    <font>
      <b/>
      <sz val="11"/>
      <color theme="1"/>
      <name val="Arial"/>
      <family val="2"/>
      <scheme val="minor"/>
    </font>
    <font>
      <b/>
      <sz val="10"/>
      <name val="Arial"/>
      <family val="2"/>
    </font>
    <font>
      <b/>
      <sz val="11"/>
      <color theme="0"/>
      <name val="Arial"/>
      <family val="2"/>
    </font>
  </fonts>
  <fills count="7">
    <fill>
      <patternFill patternType="none"/>
    </fill>
    <fill>
      <patternFill patternType="gray125"/>
    </fill>
    <fill>
      <patternFill patternType="solid">
        <fgColor rgb="FF17365D"/>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3" tint="-0.249977111117893"/>
        <bgColor indexed="64"/>
      </patternFill>
    </fill>
  </fills>
  <borders count="3">
    <border>
      <left/>
      <right/>
      <top/>
      <bottom/>
      <diagonal/>
    </border>
    <border>
      <left/>
      <right/>
      <top/>
      <bottom style="thin">
        <color rgb="FFD9E2F3"/>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9">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right" vertical="top" wrapText="1" readingOrder="2"/>
    </xf>
    <xf numFmtId="0" fontId="1" fillId="2" borderId="0" xfId="0" applyFont="1" applyFill="1" applyAlignment="1">
      <alignment horizontal="right" vertical="center" wrapText="1" readingOrder="2"/>
    </xf>
    <xf numFmtId="0" fontId="2" fillId="0" borderId="1" xfId="0" applyFont="1" applyBorder="1" applyAlignment="1">
      <alignment horizontal="center" vertical="top" wrapText="1"/>
    </xf>
    <xf numFmtId="0" fontId="0" fillId="0" borderId="0" xfId="0" applyAlignment="1">
      <alignment horizontal="center"/>
    </xf>
    <xf numFmtId="0" fontId="1" fillId="2" borderId="0" xfId="0" applyFont="1" applyFill="1" applyAlignment="1">
      <alignment horizontal="left" vertical="center" wrapText="1"/>
    </xf>
    <xf numFmtId="0" fontId="2" fillId="0" borderId="1" xfId="0" applyFont="1" applyBorder="1" applyAlignment="1">
      <alignment horizontal="left" vertical="top" wrapText="1"/>
    </xf>
    <xf numFmtId="0" fontId="0" fillId="0" borderId="0" xfId="0" applyAlignment="1">
      <alignment horizontal="left"/>
    </xf>
    <xf numFmtId="0" fontId="2" fillId="0" borderId="1" xfId="0" applyFont="1" applyBorder="1" applyAlignment="1">
      <alignment horizontal="left" vertical="top" wrapText="1" readingOrder="2"/>
    </xf>
    <xf numFmtId="9" fontId="0" fillId="0" borderId="0" xfId="1" applyNumberFormat="1" applyFont="1"/>
    <xf numFmtId="0" fontId="1" fillId="2" borderId="2" xfId="0" applyFont="1" applyFill="1" applyBorder="1" applyAlignment="1">
      <alignment horizontal="center" vertical="center" wrapText="1"/>
    </xf>
    <xf numFmtId="0" fontId="1" fillId="2" borderId="2" xfId="0" applyFont="1" applyFill="1" applyBorder="1" applyAlignment="1">
      <alignment horizontal="right" vertical="center" wrapText="1"/>
    </xf>
    <xf numFmtId="0" fontId="7" fillId="6" borderId="2" xfId="0" applyFont="1" applyFill="1" applyBorder="1" applyAlignment="1">
      <alignment horizontal="center" vertical="center" wrapText="1"/>
    </xf>
    <xf numFmtId="0" fontId="2" fillId="0" borderId="2" xfId="0" applyFont="1" applyBorder="1" applyAlignment="1">
      <alignment horizontal="center" vertical="top" wrapText="1"/>
    </xf>
    <xf numFmtId="0" fontId="2" fillId="0" borderId="2" xfId="0" applyFont="1" applyBorder="1" applyAlignment="1">
      <alignment horizontal="right" vertical="top" wrapText="1"/>
    </xf>
    <xf numFmtId="0" fontId="4" fillId="3" borderId="2" xfId="0" applyNumberFormat="1" applyFont="1" applyFill="1" applyBorder="1" applyAlignment="1">
      <alignment horizontal="center" vertical="top" wrapText="1"/>
    </xf>
    <xf numFmtId="0" fontId="6" fillId="4" borderId="2" xfId="0" applyFont="1" applyFill="1" applyBorder="1" applyAlignment="1">
      <alignment horizontal="center" vertical="top" wrapText="1"/>
    </xf>
    <xf numFmtId="0" fontId="6" fillId="5" borderId="2" xfId="0" applyFont="1" applyFill="1" applyBorder="1" applyAlignment="1">
      <alignment horizontal="center" vertical="top" wrapText="1"/>
    </xf>
    <xf numFmtId="0" fontId="0" fillId="0" borderId="2" xfId="0" applyBorder="1" applyAlignment="1">
      <alignment horizontal="center"/>
    </xf>
    <xf numFmtId="0" fontId="0" fillId="0" borderId="2" xfId="0" applyBorder="1" applyAlignment="1">
      <alignment horizontal="right"/>
    </xf>
    <xf numFmtId="0" fontId="5" fillId="3" borderId="2" xfId="0" applyFont="1" applyFill="1" applyBorder="1" applyAlignment="1">
      <alignment horizontal="center"/>
    </xf>
    <xf numFmtId="0" fontId="5" fillId="4" borderId="2" xfId="0" applyFont="1" applyFill="1" applyBorder="1" applyAlignment="1">
      <alignment horizontal="center"/>
    </xf>
    <xf numFmtId="0" fontId="5" fillId="5" borderId="2" xfId="0" applyFont="1" applyFill="1" applyBorder="1" applyAlignment="1">
      <alignment horizontal="center"/>
    </xf>
    <xf numFmtId="10" fontId="4" fillId="3" borderId="2" xfId="0" applyNumberFormat="1" applyFont="1" applyFill="1" applyBorder="1" applyAlignment="1">
      <alignment horizontal="center" vertical="top" wrapText="1"/>
    </xf>
    <xf numFmtId="0" fontId="6" fillId="0" borderId="2" xfId="0" applyFont="1" applyBorder="1" applyAlignment="1">
      <alignment horizontal="right" vertical="top" wrapText="1" readingOrder="2"/>
    </xf>
    <xf numFmtId="0" fontId="6" fillId="0" borderId="2" xfId="0" applyFont="1" applyBorder="1" applyAlignment="1">
      <alignment vertical="top" wrapText="1"/>
    </xf>
    <xf numFmtId="0" fontId="5" fillId="0" borderId="2" xfId="0" applyFont="1" applyBorder="1"/>
  </cellXfs>
  <cellStyles count="2">
    <cellStyle name="Percent" xfId="1" builtinId="5"/>
    <cellStyle name="عادي"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6"/>
  <sheetViews>
    <sheetView rightToLeft="1" tabSelected="1" topLeftCell="C1" workbookViewId="0">
      <pane ySplit="1" topLeftCell="A2" activePane="bottomLeft" state="frozen"/>
      <selection pane="bottomLeft" activeCell="D1" sqref="D1:D1048576"/>
    </sheetView>
  </sheetViews>
  <sheetFormatPr defaultRowHeight="15" x14ac:dyDescent="0.25"/>
  <cols>
    <col min="1" max="1" width="4" style="6" customWidth="1"/>
    <col min="2" max="2" width="30.125" style="9" customWidth="1"/>
    <col min="3" max="3" width="12.75" style="20" customWidth="1"/>
    <col min="4" max="4" width="56.875" style="28" customWidth="1"/>
    <col min="5" max="5" width="12.75" style="21" customWidth="1"/>
    <col min="6" max="6" width="13.625" style="22" customWidth="1"/>
    <col min="7" max="7" width="19.75" style="23" customWidth="1"/>
    <col min="8" max="8" width="14" style="24" customWidth="1"/>
    <col min="9" max="9" width="16.5" customWidth="1"/>
  </cols>
  <sheetData>
    <row r="1" spans="1:9" ht="30" customHeight="1" x14ac:dyDescent="0.2">
      <c r="A1" s="1" t="s">
        <v>0</v>
      </c>
      <c r="B1" s="7" t="s">
        <v>1</v>
      </c>
      <c r="C1" s="12" t="s">
        <v>2</v>
      </c>
      <c r="D1" s="12" t="s">
        <v>3</v>
      </c>
      <c r="E1" s="13" t="s">
        <v>4</v>
      </c>
      <c r="F1" s="14" t="s">
        <v>311</v>
      </c>
      <c r="G1" s="14" t="s">
        <v>5</v>
      </c>
      <c r="H1" s="14" t="s">
        <v>310</v>
      </c>
    </row>
    <row r="2" spans="1:9" ht="42" customHeight="1" x14ac:dyDescent="0.2">
      <c r="A2" s="5" t="s">
        <v>6</v>
      </c>
      <c r="B2" s="8" t="s">
        <v>7</v>
      </c>
      <c r="C2" s="15" t="s">
        <v>8</v>
      </c>
      <c r="D2" s="26" t="s">
        <v>9</v>
      </c>
      <c r="E2" s="16" t="s">
        <v>10</v>
      </c>
      <c r="F2" s="17">
        <f>H2-100%</f>
        <v>96</v>
      </c>
      <c r="G2" s="18">
        <f>H2*107%</f>
        <v>103.79</v>
      </c>
      <c r="H2" s="19">
        <v>97</v>
      </c>
    </row>
    <row r="3" spans="1:9" ht="42" customHeight="1" x14ac:dyDescent="0.2">
      <c r="A3" s="5" t="s">
        <v>12</v>
      </c>
      <c r="B3" s="8" t="s">
        <v>13</v>
      </c>
      <c r="C3" s="15" t="s">
        <v>8</v>
      </c>
      <c r="D3" s="26" t="s">
        <v>9</v>
      </c>
      <c r="E3" s="16" t="s">
        <v>14</v>
      </c>
      <c r="F3" s="17">
        <f>H3-100%</f>
        <v>69</v>
      </c>
      <c r="G3" s="18">
        <f>H3*107%</f>
        <v>74.900000000000006</v>
      </c>
      <c r="H3" s="19">
        <v>70</v>
      </c>
    </row>
    <row r="4" spans="1:9" ht="42" customHeight="1" x14ac:dyDescent="0.2">
      <c r="A4" s="5" t="s">
        <v>15</v>
      </c>
      <c r="B4" s="8" t="s">
        <v>16</v>
      </c>
      <c r="C4" s="15" t="s">
        <v>17</v>
      </c>
      <c r="D4" s="26" t="s">
        <v>18</v>
      </c>
      <c r="E4" s="16" t="s">
        <v>14</v>
      </c>
      <c r="F4" s="17">
        <f>H4-100%</f>
        <v>55</v>
      </c>
      <c r="G4" s="18">
        <f>H4*107%</f>
        <v>59.92</v>
      </c>
      <c r="H4" s="19">
        <v>56</v>
      </c>
    </row>
    <row r="5" spans="1:9" ht="42" customHeight="1" x14ac:dyDescent="0.2">
      <c r="A5" s="5" t="s">
        <v>19</v>
      </c>
      <c r="B5" s="8" t="s">
        <v>20</v>
      </c>
      <c r="C5" s="15" t="s">
        <v>17</v>
      </c>
      <c r="D5" s="26" t="s">
        <v>21</v>
      </c>
      <c r="E5" s="16" t="s">
        <v>10</v>
      </c>
      <c r="F5" s="17">
        <f>H5-100%</f>
        <v>55</v>
      </c>
      <c r="G5" s="18">
        <f>H5*107%</f>
        <v>59.92</v>
      </c>
      <c r="H5" s="19">
        <v>56</v>
      </c>
      <c r="I5" s="11"/>
    </row>
    <row r="6" spans="1:9" ht="42" customHeight="1" x14ac:dyDescent="0.2">
      <c r="A6" s="5" t="s">
        <v>22</v>
      </c>
      <c r="B6" s="8" t="s">
        <v>23</v>
      </c>
      <c r="C6" s="15" t="s">
        <v>24</v>
      </c>
      <c r="D6" s="26" t="s">
        <v>25</v>
      </c>
      <c r="E6" s="16" t="s">
        <v>14</v>
      </c>
      <c r="F6" s="17">
        <f>H6-100%</f>
        <v>59</v>
      </c>
      <c r="G6" s="18">
        <f>H6*107%</f>
        <v>64.2</v>
      </c>
      <c r="H6" s="19">
        <v>60</v>
      </c>
      <c r="I6" s="11"/>
    </row>
    <row r="7" spans="1:9" ht="42" customHeight="1" x14ac:dyDescent="0.2">
      <c r="A7" s="5" t="s">
        <v>26</v>
      </c>
      <c r="B7" s="8" t="s">
        <v>27</v>
      </c>
      <c r="C7" s="15" t="s">
        <v>17</v>
      </c>
      <c r="D7" s="26" t="s">
        <v>28</v>
      </c>
      <c r="E7" s="16" t="s">
        <v>10</v>
      </c>
      <c r="F7" s="17">
        <f>H7-100%</f>
        <v>95</v>
      </c>
      <c r="G7" s="18">
        <f>H7*107%</f>
        <v>102.72</v>
      </c>
      <c r="H7" s="19">
        <v>96</v>
      </c>
    </row>
    <row r="8" spans="1:9" ht="42" customHeight="1" x14ac:dyDescent="0.2">
      <c r="A8" s="5" t="s">
        <v>29</v>
      </c>
      <c r="B8" s="8" t="s">
        <v>30</v>
      </c>
      <c r="C8" s="15" t="s">
        <v>31</v>
      </c>
      <c r="D8" s="26" t="s">
        <v>32</v>
      </c>
      <c r="E8" s="16" t="s">
        <v>10</v>
      </c>
      <c r="F8" s="17">
        <f>H8-100%</f>
        <v>66</v>
      </c>
      <c r="G8" s="18">
        <f>H8*107%</f>
        <v>71.69</v>
      </c>
      <c r="H8" s="19">
        <v>67</v>
      </c>
    </row>
    <row r="9" spans="1:9" ht="42" customHeight="1" x14ac:dyDescent="0.2">
      <c r="A9" s="5" t="s">
        <v>33</v>
      </c>
      <c r="B9" s="8" t="s">
        <v>34</v>
      </c>
      <c r="C9" s="15" t="s">
        <v>31</v>
      </c>
      <c r="D9" s="26" t="s">
        <v>35</v>
      </c>
      <c r="E9" s="16" t="s">
        <v>10</v>
      </c>
      <c r="F9" s="17">
        <f>H9-100%</f>
        <v>66</v>
      </c>
      <c r="G9" s="18">
        <f>H9*107%</f>
        <v>71.69</v>
      </c>
      <c r="H9" s="19">
        <v>67</v>
      </c>
    </row>
    <row r="10" spans="1:9" ht="42" customHeight="1" x14ac:dyDescent="0.2">
      <c r="A10" s="5" t="s">
        <v>36</v>
      </c>
      <c r="B10" s="8" t="s">
        <v>37</v>
      </c>
      <c r="C10" s="15" t="s">
        <v>31</v>
      </c>
      <c r="D10" s="26" t="s">
        <v>38</v>
      </c>
      <c r="E10" s="16"/>
      <c r="F10" s="17">
        <f>H10-100%</f>
        <v>79</v>
      </c>
      <c r="G10" s="18">
        <f>H10*107%</f>
        <v>85.600000000000009</v>
      </c>
      <c r="H10" s="19">
        <v>80</v>
      </c>
    </row>
    <row r="11" spans="1:9" ht="42" customHeight="1" x14ac:dyDescent="0.2">
      <c r="A11" s="5" t="s">
        <v>40</v>
      </c>
      <c r="B11" s="8" t="s">
        <v>41</v>
      </c>
      <c r="C11" s="15" t="s">
        <v>31</v>
      </c>
      <c r="D11" s="26" t="s">
        <v>42</v>
      </c>
      <c r="E11" s="16" t="s">
        <v>43</v>
      </c>
      <c r="F11" s="17">
        <f>H11-100%</f>
        <v>170</v>
      </c>
      <c r="G11" s="18">
        <f>H11*107%</f>
        <v>182.97</v>
      </c>
      <c r="H11" s="19">
        <v>171</v>
      </c>
    </row>
    <row r="12" spans="1:9" ht="42" customHeight="1" x14ac:dyDescent="0.2">
      <c r="A12" s="5" t="s">
        <v>44</v>
      </c>
      <c r="B12" s="8" t="s">
        <v>45</v>
      </c>
      <c r="C12" s="15" t="s">
        <v>17</v>
      </c>
      <c r="D12" s="26" t="s">
        <v>46</v>
      </c>
      <c r="E12" s="16" t="s">
        <v>10</v>
      </c>
      <c r="F12" s="17">
        <f>H12-100%</f>
        <v>192</v>
      </c>
      <c r="G12" s="18">
        <f>H12*107%</f>
        <v>206.51000000000002</v>
      </c>
      <c r="H12" s="19">
        <v>193</v>
      </c>
    </row>
    <row r="13" spans="1:9" ht="42" customHeight="1" x14ac:dyDescent="0.2">
      <c r="A13" s="5" t="s">
        <v>47</v>
      </c>
      <c r="B13" s="8" t="s">
        <v>48</v>
      </c>
      <c r="C13" s="15" t="s">
        <v>31</v>
      </c>
      <c r="D13" s="26" t="s">
        <v>49</v>
      </c>
      <c r="E13" s="16" t="s">
        <v>14</v>
      </c>
      <c r="F13" s="17">
        <f>H13-100%</f>
        <v>309</v>
      </c>
      <c r="G13" s="18">
        <f>H13*107%</f>
        <v>331.70000000000005</v>
      </c>
      <c r="H13" s="19">
        <v>310</v>
      </c>
    </row>
    <row r="14" spans="1:9" ht="42" customHeight="1" x14ac:dyDescent="0.2">
      <c r="A14" s="5" t="s">
        <v>50</v>
      </c>
      <c r="B14" s="8" t="s">
        <v>51</v>
      </c>
      <c r="C14" s="15" t="s">
        <v>17</v>
      </c>
      <c r="D14" s="26" t="s">
        <v>52</v>
      </c>
      <c r="E14" s="16" t="s">
        <v>47</v>
      </c>
      <c r="F14" s="17">
        <f>H14-100%</f>
        <v>262</v>
      </c>
      <c r="G14" s="18">
        <f>H14*107%</f>
        <v>281.41000000000003</v>
      </c>
      <c r="H14" s="19">
        <v>263</v>
      </c>
    </row>
    <row r="15" spans="1:9" ht="42" customHeight="1" x14ac:dyDescent="0.2">
      <c r="A15" s="5" t="s">
        <v>53</v>
      </c>
      <c r="B15" s="8" t="s">
        <v>54</v>
      </c>
      <c r="C15" s="15" t="s">
        <v>8</v>
      </c>
      <c r="D15" s="26" t="s">
        <v>55</v>
      </c>
      <c r="E15" s="16" t="s">
        <v>56</v>
      </c>
      <c r="F15" s="17">
        <f>H15-100%</f>
        <v>840</v>
      </c>
      <c r="G15" s="18">
        <f>H15*107%</f>
        <v>899.87</v>
      </c>
      <c r="H15" s="19">
        <v>841</v>
      </c>
    </row>
    <row r="16" spans="1:9" ht="42" customHeight="1" x14ac:dyDescent="0.2">
      <c r="A16" s="5" t="s">
        <v>57</v>
      </c>
      <c r="B16" s="8" t="s">
        <v>58</v>
      </c>
      <c r="C16" s="15" t="s">
        <v>59</v>
      </c>
      <c r="D16" s="26" t="s">
        <v>60</v>
      </c>
      <c r="E16" s="16" t="s">
        <v>61</v>
      </c>
      <c r="F16" s="17">
        <f>H16-100%</f>
        <v>641</v>
      </c>
      <c r="G16" s="18">
        <f>H16*107%</f>
        <v>686.94</v>
      </c>
      <c r="H16" s="19">
        <v>642</v>
      </c>
    </row>
    <row r="17" spans="1:8" ht="42" customHeight="1" x14ac:dyDescent="0.2">
      <c r="A17" s="5" t="s">
        <v>62</v>
      </c>
      <c r="B17" s="8" t="s">
        <v>63</v>
      </c>
      <c r="C17" s="15" t="s">
        <v>31</v>
      </c>
      <c r="D17" s="26" t="s">
        <v>64</v>
      </c>
      <c r="E17" s="16" t="s">
        <v>65</v>
      </c>
      <c r="F17" s="17">
        <f>H17-100%</f>
        <v>534</v>
      </c>
      <c r="G17" s="18">
        <f>H17*107%</f>
        <v>572.45000000000005</v>
      </c>
      <c r="H17" s="19">
        <v>535</v>
      </c>
    </row>
    <row r="18" spans="1:8" ht="42" customHeight="1" x14ac:dyDescent="0.2">
      <c r="A18" s="5" t="s">
        <v>66</v>
      </c>
      <c r="B18" s="8" t="s">
        <v>67</v>
      </c>
      <c r="C18" s="15" t="s">
        <v>17</v>
      </c>
      <c r="D18" s="26" t="s">
        <v>68</v>
      </c>
      <c r="E18" s="16" t="s">
        <v>65</v>
      </c>
      <c r="F18" s="17">
        <f>H18-100%</f>
        <v>159</v>
      </c>
      <c r="G18" s="18">
        <f>H18*107%</f>
        <v>171.20000000000002</v>
      </c>
      <c r="H18" s="19">
        <v>160</v>
      </c>
    </row>
    <row r="19" spans="1:8" ht="42" customHeight="1" x14ac:dyDescent="0.2">
      <c r="A19" s="5" t="s">
        <v>11</v>
      </c>
      <c r="B19" s="8" t="s">
        <v>69</v>
      </c>
      <c r="C19" s="15" t="s">
        <v>31</v>
      </c>
      <c r="D19" s="26" t="s">
        <v>70</v>
      </c>
      <c r="E19" s="16" t="s">
        <v>65</v>
      </c>
      <c r="F19" s="17">
        <f>H19-100%</f>
        <v>309</v>
      </c>
      <c r="G19" s="18">
        <f>H19*107%</f>
        <v>331.70000000000005</v>
      </c>
      <c r="H19" s="19">
        <v>310</v>
      </c>
    </row>
    <row r="20" spans="1:8" ht="42" customHeight="1" x14ac:dyDescent="0.2">
      <c r="A20" s="5" t="s">
        <v>71</v>
      </c>
      <c r="B20" s="8" t="s">
        <v>72</v>
      </c>
      <c r="C20" s="15" t="s">
        <v>17</v>
      </c>
      <c r="D20" s="26" t="s">
        <v>73</v>
      </c>
      <c r="E20" s="16"/>
      <c r="F20" s="17">
        <f>H20-100%</f>
        <v>309</v>
      </c>
      <c r="G20" s="18">
        <f>H20*107%</f>
        <v>331.70000000000005</v>
      </c>
      <c r="H20" s="19">
        <v>310</v>
      </c>
    </row>
    <row r="21" spans="1:8" ht="42" customHeight="1" x14ac:dyDescent="0.2">
      <c r="A21" s="5" t="s">
        <v>74</v>
      </c>
      <c r="B21" s="8" t="s">
        <v>75</v>
      </c>
      <c r="C21" s="15" t="s">
        <v>76</v>
      </c>
      <c r="D21" s="26" t="s">
        <v>77</v>
      </c>
      <c r="E21" s="16"/>
      <c r="F21" s="17">
        <f>H21-100%</f>
        <v>614</v>
      </c>
      <c r="G21" s="18">
        <f>H21*107%</f>
        <v>658.05000000000007</v>
      </c>
      <c r="H21" s="19">
        <v>615</v>
      </c>
    </row>
    <row r="22" spans="1:8" ht="42" customHeight="1" x14ac:dyDescent="0.2">
      <c r="A22" s="5" t="s">
        <v>78</v>
      </c>
      <c r="B22" s="8" t="s">
        <v>79</v>
      </c>
      <c r="C22" s="15" t="s">
        <v>76</v>
      </c>
      <c r="D22" s="26" t="s">
        <v>80</v>
      </c>
      <c r="E22" s="16" t="s">
        <v>81</v>
      </c>
      <c r="F22" s="17">
        <f>H22-100%</f>
        <v>683</v>
      </c>
      <c r="G22" s="18">
        <f>H22*107%</f>
        <v>731.88</v>
      </c>
      <c r="H22" s="19">
        <v>684</v>
      </c>
    </row>
    <row r="23" spans="1:8" ht="42" customHeight="1" x14ac:dyDescent="0.2">
      <c r="A23" s="5" t="s">
        <v>82</v>
      </c>
      <c r="B23" s="8" t="s">
        <v>83</v>
      </c>
      <c r="C23" s="15" t="s">
        <v>8</v>
      </c>
      <c r="D23" s="26" t="s">
        <v>84</v>
      </c>
      <c r="E23" s="16"/>
      <c r="F23" s="17">
        <f>H23-100%</f>
        <v>641</v>
      </c>
      <c r="G23" s="18">
        <f>H23*107%</f>
        <v>686.94</v>
      </c>
      <c r="H23" s="19">
        <v>642</v>
      </c>
    </row>
    <row r="24" spans="1:8" ht="42" customHeight="1" x14ac:dyDescent="0.2">
      <c r="A24" s="5" t="s">
        <v>39</v>
      </c>
      <c r="B24" s="8" t="s">
        <v>85</v>
      </c>
      <c r="C24" s="15" t="s">
        <v>17</v>
      </c>
      <c r="D24" s="26" t="s">
        <v>86</v>
      </c>
      <c r="E24" s="16" t="s">
        <v>87</v>
      </c>
      <c r="F24" s="17">
        <f>H24-100%</f>
        <v>63</v>
      </c>
      <c r="G24" s="18">
        <f>H24*107%</f>
        <v>68.48</v>
      </c>
      <c r="H24" s="19">
        <v>64</v>
      </c>
    </row>
    <row r="25" spans="1:8" ht="42" customHeight="1" x14ac:dyDescent="0.2">
      <c r="A25" s="5" t="s">
        <v>6</v>
      </c>
      <c r="B25" s="8" t="s">
        <v>88</v>
      </c>
      <c r="C25" s="15" t="s">
        <v>89</v>
      </c>
      <c r="D25" s="26" t="s">
        <v>90</v>
      </c>
      <c r="E25" s="16"/>
      <c r="F25" s="17">
        <f>H25-100%</f>
        <v>95</v>
      </c>
      <c r="G25" s="18">
        <f>H25*107%</f>
        <v>102.72</v>
      </c>
      <c r="H25" s="19">
        <v>96</v>
      </c>
    </row>
    <row r="26" spans="1:8" ht="42" customHeight="1" x14ac:dyDescent="0.2">
      <c r="A26" s="5" t="s">
        <v>12</v>
      </c>
      <c r="B26" s="8" t="s">
        <v>91</v>
      </c>
      <c r="C26" s="15" t="s">
        <v>89</v>
      </c>
      <c r="D26" s="26" t="s">
        <v>92</v>
      </c>
      <c r="E26" s="16"/>
      <c r="F26" s="17">
        <f>H26-100%</f>
        <v>95</v>
      </c>
      <c r="G26" s="18">
        <f>H26*107%</f>
        <v>102.72</v>
      </c>
      <c r="H26" s="19">
        <v>96</v>
      </c>
    </row>
    <row r="27" spans="1:8" ht="42" customHeight="1" x14ac:dyDescent="0.2">
      <c r="A27" s="5" t="s">
        <v>15</v>
      </c>
      <c r="B27" s="8" t="s">
        <v>93</v>
      </c>
      <c r="C27" s="15" t="s">
        <v>89</v>
      </c>
      <c r="D27" s="26" t="s">
        <v>94</v>
      </c>
      <c r="E27" s="16"/>
      <c r="F27" s="17">
        <f>H27-100%</f>
        <v>149</v>
      </c>
      <c r="G27" s="18">
        <f>H27*107%</f>
        <v>160.5</v>
      </c>
      <c r="H27" s="19">
        <v>150</v>
      </c>
    </row>
    <row r="28" spans="1:8" ht="42" customHeight="1" x14ac:dyDescent="0.2">
      <c r="A28" s="5" t="s">
        <v>19</v>
      </c>
      <c r="B28" s="8" t="s">
        <v>95</v>
      </c>
      <c r="C28" s="15" t="s">
        <v>89</v>
      </c>
      <c r="D28" s="26" t="s">
        <v>96</v>
      </c>
      <c r="E28" s="16"/>
      <c r="F28" s="17">
        <f>H28-100%</f>
        <v>117</v>
      </c>
      <c r="G28" s="18">
        <f>H28*107%</f>
        <v>126.26</v>
      </c>
      <c r="H28" s="19">
        <v>118</v>
      </c>
    </row>
    <row r="29" spans="1:8" ht="42" customHeight="1" x14ac:dyDescent="0.2">
      <c r="A29" s="5" t="s">
        <v>22</v>
      </c>
      <c r="B29" s="8" t="s">
        <v>97</v>
      </c>
      <c r="C29" s="15" t="s">
        <v>89</v>
      </c>
      <c r="D29" s="26" t="s">
        <v>98</v>
      </c>
      <c r="E29" s="16"/>
      <c r="F29" s="17">
        <f>H29-100%</f>
        <v>149</v>
      </c>
      <c r="G29" s="18">
        <f>H29*107%</f>
        <v>160.5</v>
      </c>
      <c r="H29" s="19">
        <v>150</v>
      </c>
    </row>
    <row r="30" spans="1:8" ht="42" customHeight="1" x14ac:dyDescent="0.2">
      <c r="A30" s="5" t="s">
        <v>26</v>
      </c>
      <c r="B30" s="8" t="s">
        <v>99</v>
      </c>
      <c r="C30" s="15" t="s">
        <v>100</v>
      </c>
      <c r="D30" s="26" t="s">
        <v>101</v>
      </c>
      <c r="E30" s="16"/>
      <c r="F30" s="17">
        <f>H30-100%</f>
        <v>962</v>
      </c>
      <c r="G30" s="18">
        <f>H30*107%</f>
        <v>1030.4100000000001</v>
      </c>
      <c r="H30" s="19">
        <v>963</v>
      </c>
    </row>
    <row r="31" spans="1:8" ht="42" customHeight="1" x14ac:dyDescent="0.2">
      <c r="A31" s="5" t="s">
        <v>29</v>
      </c>
      <c r="B31" s="8" t="s">
        <v>102</v>
      </c>
      <c r="C31" s="15" t="s">
        <v>100</v>
      </c>
      <c r="D31" s="26" t="s">
        <v>103</v>
      </c>
      <c r="E31" s="16"/>
      <c r="F31" s="17">
        <f>H31-100%</f>
        <v>818</v>
      </c>
      <c r="G31" s="18">
        <f>H31*107%</f>
        <v>876.33</v>
      </c>
      <c r="H31" s="19">
        <v>819</v>
      </c>
    </row>
    <row r="32" spans="1:8" ht="42" customHeight="1" x14ac:dyDescent="0.2">
      <c r="A32" s="5" t="s">
        <v>33</v>
      </c>
      <c r="B32" s="8" t="s">
        <v>104</v>
      </c>
      <c r="C32" s="15" t="s">
        <v>100</v>
      </c>
      <c r="D32" s="26" t="s">
        <v>105</v>
      </c>
      <c r="E32" s="16"/>
      <c r="F32" s="17">
        <f>H32-100%</f>
        <v>833</v>
      </c>
      <c r="G32" s="18">
        <f>H32*107%</f>
        <v>892.38</v>
      </c>
      <c r="H32" s="19">
        <v>834</v>
      </c>
    </row>
    <row r="33" spans="1:8" ht="42" customHeight="1" x14ac:dyDescent="0.2">
      <c r="A33" s="5" t="s">
        <v>36</v>
      </c>
      <c r="B33" s="8" t="s">
        <v>106</v>
      </c>
      <c r="C33" s="15" t="s">
        <v>89</v>
      </c>
      <c r="D33" s="26" t="s">
        <v>107</v>
      </c>
      <c r="E33" s="16"/>
      <c r="F33" s="17">
        <f>H33-100%</f>
        <v>298</v>
      </c>
      <c r="G33" s="18">
        <f>H33*107%</f>
        <v>319.93</v>
      </c>
      <c r="H33" s="19">
        <v>299</v>
      </c>
    </row>
    <row r="34" spans="1:8" ht="42" customHeight="1" x14ac:dyDescent="0.2">
      <c r="A34" s="5" t="s">
        <v>40</v>
      </c>
      <c r="B34" s="8" t="s">
        <v>108</v>
      </c>
      <c r="C34" s="15" t="s">
        <v>100</v>
      </c>
      <c r="D34" s="26" t="s">
        <v>109</v>
      </c>
      <c r="E34" s="16"/>
      <c r="F34" s="17">
        <f>H34-100%</f>
        <v>1978</v>
      </c>
      <c r="G34" s="18">
        <f>H34*107%</f>
        <v>2117.5300000000002</v>
      </c>
      <c r="H34" s="19">
        <v>1979</v>
      </c>
    </row>
    <row r="35" spans="1:8" ht="42" customHeight="1" x14ac:dyDescent="0.2">
      <c r="A35" s="5" t="s">
        <v>44</v>
      </c>
      <c r="B35" s="8" t="s">
        <v>110</v>
      </c>
      <c r="C35" s="15" t="s">
        <v>100</v>
      </c>
      <c r="D35" s="26" t="s">
        <v>111</v>
      </c>
      <c r="E35" s="16"/>
      <c r="F35" s="17">
        <f>H35-100%</f>
        <v>962</v>
      </c>
      <c r="G35" s="18">
        <f>H35*107%</f>
        <v>1030.4100000000001</v>
      </c>
      <c r="H35" s="19">
        <v>963</v>
      </c>
    </row>
    <row r="36" spans="1:8" ht="42" customHeight="1" x14ac:dyDescent="0.2">
      <c r="A36" s="5" t="s">
        <v>47</v>
      </c>
      <c r="B36" s="8" t="s">
        <v>112</v>
      </c>
      <c r="C36" s="15" t="s">
        <v>89</v>
      </c>
      <c r="D36" s="26" t="s">
        <v>113</v>
      </c>
      <c r="E36" s="16"/>
      <c r="F36" s="17">
        <f>H36-100%</f>
        <v>192</v>
      </c>
      <c r="G36" s="18">
        <f>H36*107%</f>
        <v>206.51000000000002</v>
      </c>
      <c r="H36" s="19">
        <v>193</v>
      </c>
    </row>
    <row r="37" spans="1:8" ht="42" customHeight="1" x14ac:dyDescent="0.2">
      <c r="A37" s="5" t="s">
        <v>50</v>
      </c>
      <c r="B37" s="8" t="s">
        <v>114</v>
      </c>
      <c r="C37" s="15" t="s">
        <v>100</v>
      </c>
      <c r="D37" s="26" t="s">
        <v>115</v>
      </c>
      <c r="E37" s="16"/>
      <c r="F37" s="17">
        <f>H37-100%</f>
        <v>2889</v>
      </c>
      <c r="G37" s="18">
        <f>H37*107%</f>
        <v>3092.3</v>
      </c>
      <c r="H37" s="19">
        <v>2890</v>
      </c>
    </row>
    <row r="38" spans="1:8" ht="42" customHeight="1" x14ac:dyDescent="0.2">
      <c r="A38" s="5"/>
      <c r="B38" s="8" t="s">
        <v>116</v>
      </c>
      <c r="C38" s="15"/>
      <c r="D38" s="27"/>
      <c r="E38" s="16"/>
      <c r="F38" s="17"/>
      <c r="G38" s="18">
        <f>H38*107%</f>
        <v>0</v>
      </c>
      <c r="H38" s="19"/>
    </row>
    <row r="39" spans="1:8" ht="42" customHeight="1" x14ac:dyDescent="0.2">
      <c r="A39" s="5" t="s">
        <v>6</v>
      </c>
      <c r="B39" s="8" t="s">
        <v>117</v>
      </c>
      <c r="C39" s="15" t="s">
        <v>76</v>
      </c>
      <c r="D39" s="26" t="s">
        <v>118</v>
      </c>
      <c r="E39" s="16" t="s">
        <v>119</v>
      </c>
      <c r="F39" s="17">
        <f>H39-100%</f>
        <v>10</v>
      </c>
      <c r="G39" s="18">
        <f>H39*107%</f>
        <v>11.770000000000001</v>
      </c>
      <c r="H39" s="19">
        <v>11</v>
      </c>
    </row>
    <row r="40" spans="1:8" ht="42" customHeight="1" x14ac:dyDescent="0.2">
      <c r="A40" s="5" t="s">
        <v>12</v>
      </c>
      <c r="B40" s="8" t="s">
        <v>120</v>
      </c>
      <c r="C40" s="15" t="s">
        <v>121</v>
      </c>
      <c r="D40" s="27" t="s">
        <v>122</v>
      </c>
      <c r="E40" s="16" t="s">
        <v>123</v>
      </c>
      <c r="F40" s="17">
        <f>H40-100%</f>
        <v>23</v>
      </c>
      <c r="G40" s="18">
        <f>H40*107%</f>
        <v>25.68</v>
      </c>
      <c r="H40" s="19">
        <v>24</v>
      </c>
    </row>
    <row r="41" spans="1:8" ht="42" customHeight="1" x14ac:dyDescent="0.2">
      <c r="A41" s="5" t="s">
        <v>15</v>
      </c>
      <c r="B41" s="8" t="s">
        <v>124</v>
      </c>
      <c r="C41" s="15" t="s">
        <v>121</v>
      </c>
      <c r="D41" s="26" t="s">
        <v>125</v>
      </c>
      <c r="E41" s="16" t="s">
        <v>119</v>
      </c>
      <c r="F41" s="17">
        <f>H41-100%</f>
        <v>23</v>
      </c>
      <c r="G41" s="18">
        <f>H41*107%</f>
        <v>25.68</v>
      </c>
      <c r="H41" s="19">
        <v>24</v>
      </c>
    </row>
    <row r="42" spans="1:8" ht="42" customHeight="1" x14ac:dyDescent="0.2">
      <c r="A42" s="5" t="s">
        <v>19</v>
      </c>
      <c r="B42" s="8" t="s">
        <v>126</v>
      </c>
      <c r="C42" s="15" t="s">
        <v>121</v>
      </c>
      <c r="D42" s="26" t="s">
        <v>127</v>
      </c>
      <c r="E42" s="16" t="s">
        <v>128</v>
      </c>
      <c r="F42" s="17">
        <f>H42-100%</f>
        <v>31</v>
      </c>
      <c r="G42" s="18">
        <f>H42*107%</f>
        <v>34.24</v>
      </c>
      <c r="H42" s="19">
        <v>32</v>
      </c>
    </row>
    <row r="43" spans="1:8" ht="42" customHeight="1" x14ac:dyDescent="0.2">
      <c r="A43" s="5" t="s">
        <v>22</v>
      </c>
      <c r="B43" s="8" t="s">
        <v>129</v>
      </c>
      <c r="C43" s="15" t="s">
        <v>17</v>
      </c>
      <c r="D43" s="26" t="s">
        <v>130</v>
      </c>
      <c r="E43" s="16" t="s">
        <v>119</v>
      </c>
      <c r="F43" s="17">
        <f>H43-100%</f>
        <v>20</v>
      </c>
      <c r="G43" s="18">
        <f>H43*107%</f>
        <v>22.470000000000002</v>
      </c>
      <c r="H43" s="19">
        <v>21</v>
      </c>
    </row>
    <row r="44" spans="1:8" ht="42" customHeight="1" x14ac:dyDescent="0.2">
      <c r="A44" s="5" t="s">
        <v>26</v>
      </c>
      <c r="B44" s="8" t="s">
        <v>131</v>
      </c>
      <c r="C44" s="15" t="s">
        <v>17</v>
      </c>
      <c r="D44" s="26" t="s">
        <v>132</v>
      </c>
      <c r="E44" s="16" t="s">
        <v>119</v>
      </c>
      <c r="F44" s="17">
        <f>H44-100%</f>
        <v>25</v>
      </c>
      <c r="G44" s="18">
        <f>H44*107%</f>
        <v>27.82</v>
      </c>
      <c r="H44" s="19">
        <v>26</v>
      </c>
    </row>
    <row r="45" spans="1:8" ht="42" customHeight="1" x14ac:dyDescent="0.2">
      <c r="A45" s="5" t="s">
        <v>29</v>
      </c>
      <c r="B45" s="8" t="s">
        <v>133</v>
      </c>
      <c r="C45" s="15" t="s">
        <v>17</v>
      </c>
      <c r="D45" s="26" t="s">
        <v>134</v>
      </c>
      <c r="E45" s="16"/>
      <c r="F45" s="17">
        <f>H45-100%</f>
        <v>19</v>
      </c>
      <c r="G45" s="18">
        <f>H45*107%</f>
        <v>21.400000000000002</v>
      </c>
      <c r="H45" s="19">
        <v>20</v>
      </c>
    </row>
    <row r="46" spans="1:8" ht="42" customHeight="1" x14ac:dyDescent="0.2">
      <c r="A46" s="5" t="s">
        <v>33</v>
      </c>
      <c r="B46" s="8" t="s">
        <v>135</v>
      </c>
      <c r="C46" s="15" t="s">
        <v>121</v>
      </c>
      <c r="D46" s="26" t="s">
        <v>136</v>
      </c>
      <c r="E46" s="16" t="s">
        <v>137</v>
      </c>
      <c r="F46" s="17">
        <f>H46-100%</f>
        <v>181</v>
      </c>
      <c r="G46" s="18">
        <f>H46*107%</f>
        <v>194.74</v>
      </c>
      <c r="H46" s="19">
        <v>182</v>
      </c>
    </row>
    <row r="47" spans="1:8" ht="42" customHeight="1" x14ac:dyDescent="0.2">
      <c r="A47" s="5" t="s">
        <v>36</v>
      </c>
      <c r="B47" s="8" t="s">
        <v>138</v>
      </c>
      <c r="C47" s="15" t="s">
        <v>59</v>
      </c>
      <c r="D47" s="26" t="s">
        <v>139</v>
      </c>
      <c r="E47" s="16" t="s">
        <v>87</v>
      </c>
      <c r="F47" s="17">
        <f>H47-100%</f>
        <v>31</v>
      </c>
      <c r="G47" s="18">
        <f>H47*107%</f>
        <v>34.24</v>
      </c>
      <c r="H47" s="19">
        <v>32</v>
      </c>
    </row>
    <row r="48" spans="1:8" ht="42" customHeight="1" x14ac:dyDescent="0.2">
      <c r="A48" s="5" t="s">
        <v>40</v>
      </c>
      <c r="B48" s="8" t="s">
        <v>140</v>
      </c>
      <c r="C48" s="15" t="s">
        <v>17</v>
      </c>
      <c r="D48" s="26" t="s">
        <v>141</v>
      </c>
      <c r="E48" s="16"/>
      <c r="F48" s="17">
        <f>H48-100%</f>
        <v>47</v>
      </c>
      <c r="G48" s="18">
        <f>H48*107%</f>
        <v>51.36</v>
      </c>
      <c r="H48" s="19">
        <v>48</v>
      </c>
    </row>
    <row r="49" spans="1:8" ht="42" customHeight="1" x14ac:dyDescent="0.2">
      <c r="A49" s="5" t="s">
        <v>6</v>
      </c>
      <c r="B49" s="8" t="s">
        <v>142</v>
      </c>
      <c r="C49" s="15" t="s">
        <v>143</v>
      </c>
      <c r="D49" s="26" t="s">
        <v>144</v>
      </c>
      <c r="E49" s="16"/>
      <c r="F49" s="17">
        <f>H49-100%</f>
        <v>60</v>
      </c>
      <c r="G49" s="18">
        <f>H49*107%</f>
        <v>65.27000000000001</v>
      </c>
      <c r="H49" s="19">
        <v>61</v>
      </c>
    </row>
    <row r="50" spans="1:8" ht="42" customHeight="1" x14ac:dyDescent="0.2">
      <c r="A50" s="5" t="s">
        <v>12</v>
      </c>
      <c r="B50" s="8" t="s">
        <v>145</v>
      </c>
      <c r="C50" s="15" t="s">
        <v>121</v>
      </c>
      <c r="D50" s="26" t="s">
        <v>146</v>
      </c>
      <c r="E50" s="16"/>
      <c r="F50" s="17">
        <f>H50-100%</f>
        <v>69</v>
      </c>
      <c r="G50" s="18">
        <f>H50*107%</f>
        <v>74.900000000000006</v>
      </c>
      <c r="H50" s="19">
        <v>70</v>
      </c>
    </row>
    <row r="51" spans="1:8" ht="42" customHeight="1" x14ac:dyDescent="0.2">
      <c r="A51" s="5" t="s">
        <v>15</v>
      </c>
      <c r="B51" s="8" t="s">
        <v>147</v>
      </c>
      <c r="C51" s="15" t="s">
        <v>17</v>
      </c>
      <c r="D51" s="26" t="s">
        <v>148</v>
      </c>
      <c r="E51" s="16"/>
      <c r="F51" s="17">
        <f>H51-100%</f>
        <v>58</v>
      </c>
      <c r="G51" s="18">
        <f>H51*107%</f>
        <v>63.13</v>
      </c>
      <c r="H51" s="19">
        <v>59</v>
      </c>
    </row>
    <row r="52" spans="1:8" ht="42" customHeight="1" x14ac:dyDescent="0.2">
      <c r="A52" s="5" t="s">
        <v>19</v>
      </c>
      <c r="B52" s="8" t="s">
        <v>149</v>
      </c>
      <c r="C52" s="15" t="s">
        <v>17</v>
      </c>
      <c r="D52" s="26" t="s">
        <v>150</v>
      </c>
      <c r="E52" s="16"/>
      <c r="F52" s="17">
        <f>H52-100%</f>
        <v>52</v>
      </c>
      <c r="G52" s="18">
        <f>H52*107%</f>
        <v>56.71</v>
      </c>
      <c r="H52" s="19">
        <v>53</v>
      </c>
    </row>
    <row r="53" spans="1:8" ht="42" customHeight="1" x14ac:dyDescent="0.2">
      <c r="A53" s="5" t="s">
        <v>22</v>
      </c>
      <c r="B53" s="8" t="s">
        <v>151</v>
      </c>
      <c r="C53" s="15" t="s">
        <v>59</v>
      </c>
      <c r="D53" s="26" t="s">
        <v>152</v>
      </c>
      <c r="E53" s="16"/>
      <c r="F53" s="17">
        <f>H53-100%</f>
        <v>85</v>
      </c>
      <c r="G53" s="18">
        <f>H53*107%</f>
        <v>92.02000000000001</v>
      </c>
      <c r="H53" s="19">
        <v>86</v>
      </c>
    </row>
    <row r="54" spans="1:8" ht="42" customHeight="1" x14ac:dyDescent="0.2">
      <c r="A54" s="5" t="s">
        <v>26</v>
      </c>
      <c r="B54" s="8" t="s">
        <v>153</v>
      </c>
      <c r="C54" s="15" t="s">
        <v>154</v>
      </c>
      <c r="D54" s="26" t="s">
        <v>155</v>
      </c>
      <c r="E54" s="16"/>
      <c r="F54" s="17">
        <f>H54-100%</f>
        <v>42</v>
      </c>
      <c r="G54" s="18">
        <f>H54*107%</f>
        <v>46.010000000000005</v>
      </c>
      <c r="H54" s="19">
        <v>43</v>
      </c>
    </row>
    <row r="55" spans="1:8" ht="42" customHeight="1" x14ac:dyDescent="0.2">
      <c r="A55" s="5" t="s">
        <v>29</v>
      </c>
      <c r="B55" s="8" t="s">
        <v>156</v>
      </c>
      <c r="C55" s="15" t="s">
        <v>76</v>
      </c>
      <c r="D55" s="26" t="s">
        <v>157</v>
      </c>
      <c r="E55" s="16"/>
      <c r="F55" s="17">
        <f>H55-100%</f>
        <v>69</v>
      </c>
      <c r="G55" s="18">
        <f>H55*107%</f>
        <v>74.900000000000006</v>
      </c>
      <c r="H55" s="19">
        <v>70</v>
      </c>
    </row>
    <row r="56" spans="1:8" ht="42" customHeight="1" x14ac:dyDescent="0.2">
      <c r="A56" s="5" t="s">
        <v>33</v>
      </c>
      <c r="B56" s="8" t="s">
        <v>158</v>
      </c>
      <c r="C56" s="15" t="s">
        <v>59</v>
      </c>
      <c r="D56" s="26" t="s">
        <v>159</v>
      </c>
      <c r="E56" s="16"/>
      <c r="F56" s="17">
        <f>H56-100%</f>
        <v>133</v>
      </c>
      <c r="G56" s="18">
        <f>H56*107%</f>
        <v>143.38</v>
      </c>
      <c r="H56" s="19">
        <v>134</v>
      </c>
    </row>
    <row r="57" spans="1:8" ht="42" customHeight="1" x14ac:dyDescent="0.2">
      <c r="A57" s="5" t="s">
        <v>36</v>
      </c>
      <c r="B57" s="8" t="s">
        <v>160</v>
      </c>
      <c r="C57" s="15" t="s">
        <v>161</v>
      </c>
      <c r="D57" s="26" t="s">
        <v>162</v>
      </c>
      <c r="E57" s="16"/>
      <c r="F57" s="17">
        <f>H57-100%</f>
        <v>149</v>
      </c>
      <c r="G57" s="18">
        <f>H57*107%</f>
        <v>160.5</v>
      </c>
      <c r="H57" s="19">
        <v>150</v>
      </c>
    </row>
    <row r="58" spans="1:8" ht="42" customHeight="1" x14ac:dyDescent="0.2">
      <c r="A58" s="5" t="s">
        <v>40</v>
      </c>
      <c r="B58" s="8" t="s">
        <v>163</v>
      </c>
      <c r="C58" s="15" t="s">
        <v>59</v>
      </c>
      <c r="D58" s="26" t="s">
        <v>164</v>
      </c>
      <c r="E58" s="16"/>
      <c r="F58" s="17">
        <f>H58-100%</f>
        <v>304</v>
      </c>
      <c r="G58" s="18">
        <f>H58*107%</f>
        <v>326.35000000000002</v>
      </c>
      <c r="H58" s="19">
        <v>305</v>
      </c>
    </row>
    <row r="59" spans="1:8" ht="42" customHeight="1" x14ac:dyDescent="0.2">
      <c r="A59" s="5" t="s">
        <v>44</v>
      </c>
      <c r="B59" s="10" t="s">
        <v>165</v>
      </c>
      <c r="C59" s="15" t="s">
        <v>17</v>
      </c>
      <c r="D59" s="26" t="s">
        <v>166</v>
      </c>
      <c r="E59" s="16"/>
      <c r="F59" s="17">
        <f>H59-100%</f>
        <v>320</v>
      </c>
      <c r="G59" s="18">
        <f>H59*107%</f>
        <v>343.47</v>
      </c>
      <c r="H59" s="19">
        <v>321</v>
      </c>
    </row>
    <row r="60" spans="1:8" ht="42" customHeight="1" x14ac:dyDescent="0.2">
      <c r="A60" s="5" t="s">
        <v>6</v>
      </c>
      <c r="B60" s="8" t="s">
        <v>167</v>
      </c>
      <c r="C60" s="15" t="s">
        <v>8</v>
      </c>
      <c r="D60" s="26" t="s">
        <v>168</v>
      </c>
      <c r="E60" s="16"/>
      <c r="F60" s="17">
        <f>H60-100%</f>
        <v>585</v>
      </c>
      <c r="G60" s="18">
        <f>H60*107%</f>
        <v>627.02</v>
      </c>
      <c r="H60" s="19">
        <v>586</v>
      </c>
    </row>
    <row r="61" spans="1:8" ht="42" customHeight="1" x14ac:dyDescent="0.2">
      <c r="A61" s="5" t="s">
        <v>12</v>
      </c>
      <c r="B61" s="8" t="s">
        <v>169</v>
      </c>
      <c r="C61" s="15" t="s">
        <v>121</v>
      </c>
      <c r="D61" s="26" t="s">
        <v>170</v>
      </c>
      <c r="E61" s="16"/>
      <c r="F61" s="17">
        <f>H61-100%</f>
        <v>267</v>
      </c>
      <c r="G61" s="18">
        <f>H61*107%</f>
        <v>286.76</v>
      </c>
      <c r="H61" s="19">
        <v>268</v>
      </c>
    </row>
    <row r="62" spans="1:8" ht="42" customHeight="1" x14ac:dyDescent="0.2">
      <c r="A62" s="5" t="s">
        <v>15</v>
      </c>
      <c r="B62" s="8" t="s">
        <v>171</v>
      </c>
      <c r="C62" s="15"/>
      <c r="D62" s="26" t="s">
        <v>172</v>
      </c>
      <c r="E62" s="16"/>
      <c r="F62" s="17">
        <f>H62-100%</f>
        <v>347</v>
      </c>
      <c r="G62" s="18">
        <f>H62*107%</f>
        <v>372.36</v>
      </c>
      <c r="H62" s="19">
        <v>348</v>
      </c>
    </row>
    <row r="63" spans="1:8" ht="42" customHeight="1" x14ac:dyDescent="0.2">
      <c r="A63" s="5" t="s">
        <v>6</v>
      </c>
      <c r="B63" s="8" t="s">
        <v>173</v>
      </c>
      <c r="C63" s="15" t="s">
        <v>31</v>
      </c>
      <c r="D63" s="27"/>
      <c r="E63" s="16"/>
      <c r="F63" s="17">
        <f>H63-100%</f>
        <v>853</v>
      </c>
      <c r="G63" s="18">
        <f>H63*107%</f>
        <v>913.78000000000009</v>
      </c>
      <c r="H63" s="19">
        <v>854</v>
      </c>
    </row>
    <row r="64" spans="1:8" ht="42" customHeight="1" x14ac:dyDescent="0.2">
      <c r="A64" s="5" t="s">
        <v>12</v>
      </c>
      <c r="B64" s="8" t="s">
        <v>174</v>
      </c>
      <c r="C64" s="15" t="s">
        <v>8</v>
      </c>
      <c r="D64" s="26" t="s">
        <v>175</v>
      </c>
      <c r="E64" s="16"/>
      <c r="F64" s="17">
        <f>H64-100%</f>
        <v>748</v>
      </c>
      <c r="G64" s="18">
        <f>H64*107%</f>
        <v>801.43000000000006</v>
      </c>
      <c r="H64" s="19">
        <v>749</v>
      </c>
    </row>
    <row r="65" spans="1:8" ht="42" customHeight="1" x14ac:dyDescent="0.2">
      <c r="A65" s="5" t="s">
        <v>15</v>
      </c>
      <c r="B65" s="8" t="s">
        <v>176</v>
      </c>
      <c r="C65" s="15" t="s">
        <v>8</v>
      </c>
      <c r="D65" s="26" t="s">
        <v>177</v>
      </c>
      <c r="E65" s="16"/>
      <c r="F65" s="17">
        <f>H65-100%</f>
        <v>116</v>
      </c>
      <c r="G65" s="18">
        <f>H65*107%</f>
        <v>125.19000000000001</v>
      </c>
      <c r="H65" s="19">
        <v>117</v>
      </c>
    </row>
    <row r="66" spans="1:8" ht="42" customHeight="1" x14ac:dyDescent="0.2">
      <c r="A66" s="5"/>
      <c r="B66" s="10" t="s">
        <v>178</v>
      </c>
      <c r="C66" s="15"/>
      <c r="D66" s="27"/>
      <c r="E66" s="16"/>
      <c r="F66" s="17">
        <v>0</v>
      </c>
      <c r="G66" s="18">
        <f>H66*107%</f>
        <v>0</v>
      </c>
      <c r="H66" s="19"/>
    </row>
    <row r="67" spans="1:8" ht="42" customHeight="1" x14ac:dyDescent="0.2">
      <c r="A67" s="5" t="s">
        <v>6</v>
      </c>
      <c r="B67" s="8" t="s">
        <v>179</v>
      </c>
      <c r="C67" s="15" t="s">
        <v>143</v>
      </c>
      <c r="D67" s="26" t="s">
        <v>180</v>
      </c>
      <c r="E67" s="16"/>
      <c r="F67" s="17">
        <f>H67-100%</f>
        <v>63</v>
      </c>
      <c r="G67" s="18">
        <f>H67*107%</f>
        <v>68.48</v>
      </c>
      <c r="H67" s="19">
        <v>64</v>
      </c>
    </row>
    <row r="68" spans="1:8" ht="42" customHeight="1" x14ac:dyDescent="0.2">
      <c r="A68" s="5" t="s">
        <v>12</v>
      </c>
      <c r="B68" s="8" t="s">
        <v>181</v>
      </c>
      <c r="C68" s="15"/>
      <c r="D68" s="26" t="s">
        <v>182</v>
      </c>
      <c r="E68" s="16"/>
      <c r="F68" s="17">
        <f>H68-100%</f>
        <v>197</v>
      </c>
      <c r="G68" s="18">
        <f>H68*107%</f>
        <v>211.86</v>
      </c>
      <c r="H68" s="19">
        <v>198</v>
      </c>
    </row>
    <row r="69" spans="1:8" ht="42" customHeight="1" x14ac:dyDescent="0.2">
      <c r="A69" s="5" t="s">
        <v>6</v>
      </c>
      <c r="B69" s="8" t="s">
        <v>183</v>
      </c>
      <c r="C69" s="15" t="s">
        <v>184</v>
      </c>
      <c r="D69" s="26" t="s">
        <v>185</v>
      </c>
      <c r="E69" s="16"/>
      <c r="F69" s="17">
        <f>H69-100%</f>
        <v>37</v>
      </c>
      <c r="G69" s="18">
        <f>H69*107%</f>
        <v>40.660000000000004</v>
      </c>
      <c r="H69" s="19">
        <v>38</v>
      </c>
    </row>
    <row r="70" spans="1:8" ht="42" customHeight="1" x14ac:dyDescent="0.2">
      <c r="A70" s="5" t="s">
        <v>12</v>
      </c>
      <c r="B70" s="8" t="s">
        <v>186</v>
      </c>
      <c r="C70" s="15" t="s">
        <v>187</v>
      </c>
      <c r="D70" s="26" t="s">
        <v>188</v>
      </c>
      <c r="E70" s="16"/>
      <c r="F70" s="17">
        <f>H70-100%</f>
        <v>52</v>
      </c>
      <c r="G70" s="18">
        <f>H70*107%</f>
        <v>56.71</v>
      </c>
      <c r="H70" s="19">
        <v>53</v>
      </c>
    </row>
    <row r="71" spans="1:8" ht="42" customHeight="1" x14ac:dyDescent="0.2">
      <c r="A71" s="5" t="s">
        <v>15</v>
      </c>
      <c r="B71" s="8" t="s">
        <v>189</v>
      </c>
      <c r="C71" s="15" t="s">
        <v>187</v>
      </c>
      <c r="D71" s="26" t="s">
        <v>190</v>
      </c>
      <c r="E71" s="16"/>
      <c r="F71" s="17">
        <f>H71-100%</f>
        <v>79</v>
      </c>
      <c r="G71" s="18">
        <f>H71*107%</f>
        <v>85.600000000000009</v>
      </c>
      <c r="H71" s="19">
        <v>80</v>
      </c>
    </row>
    <row r="72" spans="1:8" ht="42" customHeight="1" x14ac:dyDescent="0.2">
      <c r="A72" s="5" t="s">
        <v>19</v>
      </c>
      <c r="B72" s="8" t="s">
        <v>191</v>
      </c>
      <c r="C72" s="15" t="s">
        <v>187</v>
      </c>
      <c r="D72" s="26" t="s">
        <v>192</v>
      </c>
      <c r="E72" s="16"/>
      <c r="F72" s="17">
        <f>H72-100%</f>
        <v>90</v>
      </c>
      <c r="G72" s="18">
        <f>H72*107%</f>
        <v>97.37</v>
      </c>
      <c r="H72" s="19">
        <v>91</v>
      </c>
    </row>
    <row r="73" spans="1:8" ht="42" customHeight="1" x14ac:dyDescent="0.2">
      <c r="A73" s="5" t="s">
        <v>22</v>
      </c>
      <c r="B73" s="8" t="s">
        <v>193</v>
      </c>
      <c r="C73" s="15" t="s">
        <v>194</v>
      </c>
      <c r="D73" s="26" t="s">
        <v>195</v>
      </c>
      <c r="E73" s="16"/>
      <c r="F73" s="17">
        <f>H73-100%</f>
        <v>144</v>
      </c>
      <c r="G73" s="18">
        <f>H73*107%</f>
        <v>155.15</v>
      </c>
      <c r="H73" s="19">
        <v>145</v>
      </c>
    </row>
    <row r="74" spans="1:8" ht="42" customHeight="1" x14ac:dyDescent="0.2">
      <c r="A74" s="5" t="s">
        <v>26</v>
      </c>
      <c r="B74" s="8" t="s">
        <v>196</v>
      </c>
      <c r="C74" s="15" t="s">
        <v>197</v>
      </c>
      <c r="D74" s="26" t="s">
        <v>198</v>
      </c>
      <c r="E74" s="16"/>
      <c r="F74" s="17">
        <f>H74-100%</f>
        <v>181</v>
      </c>
      <c r="G74" s="18">
        <f>H74*107%</f>
        <v>194.74</v>
      </c>
      <c r="H74" s="19">
        <v>182</v>
      </c>
    </row>
    <row r="75" spans="1:8" ht="42" customHeight="1" x14ac:dyDescent="0.2">
      <c r="A75" s="5" t="s">
        <v>29</v>
      </c>
      <c r="B75" s="8" t="s">
        <v>199</v>
      </c>
      <c r="C75" s="15" t="s">
        <v>197</v>
      </c>
      <c r="D75" s="26" t="s">
        <v>200</v>
      </c>
      <c r="E75" s="16"/>
      <c r="F75" s="17">
        <f>H75-100%</f>
        <v>320</v>
      </c>
      <c r="G75" s="18">
        <f>H75*107%</f>
        <v>343.47</v>
      </c>
      <c r="H75" s="19">
        <v>321</v>
      </c>
    </row>
    <row r="76" spans="1:8" ht="42" customHeight="1" x14ac:dyDescent="0.2">
      <c r="A76" s="5" t="s">
        <v>33</v>
      </c>
      <c r="B76" s="8" t="s">
        <v>201</v>
      </c>
      <c r="C76" s="15" t="s">
        <v>197</v>
      </c>
      <c r="D76" s="26" t="s">
        <v>202</v>
      </c>
      <c r="E76" s="16"/>
      <c r="F76" s="17">
        <f>H76-100%</f>
        <v>299</v>
      </c>
      <c r="G76" s="18">
        <f>H76*107%</f>
        <v>321</v>
      </c>
      <c r="H76" s="19">
        <v>300</v>
      </c>
    </row>
    <row r="77" spans="1:8" ht="42" customHeight="1" x14ac:dyDescent="0.2">
      <c r="A77" s="5" t="s">
        <v>36</v>
      </c>
      <c r="B77" s="8" t="s">
        <v>203</v>
      </c>
      <c r="C77" s="15" t="s">
        <v>197</v>
      </c>
      <c r="D77" s="26" t="s">
        <v>204</v>
      </c>
      <c r="E77" s="16"/>
      <c r="F77" s="17">
        <f>H77-100%</f>
        <v>176</v>
      </c>
      <c r="G77" s="18">
        <f>H77*107%</f>
        <v>189.39000000000001</v>
      </c>
      <c r="H77" s="19">
        <v>177</v>
      </c>
    </row>
    <row r="78" spans="1:8" ht="42" customHeight="1" x14ac:dyDescent="0.2">
      <c r="A78" s="5" t="s">
        <v>6</v>
      </c>
      <c r="B78" s="8" t="s">
        <v>205</v>
      </c>
      <c r="C78" s="15"/>
      <c r="D78" s="26" t="s">
        <v>206</v>
      </c>
      <c r="E78" s="16"/>
      <c r="F78" s="17">
        <f>H78-100%</f>
        <v>374</v>
      </c>
      <c r="G78" s="18">
        <f>H78*107%</f>
        <v>401.25</v>
      </c>
      <c r="H78" s="19">
        <v>375</v>
      </c>
    </row>
    <row r="79" spans="1:8" ht="42" customHeight="1" x14ac:dyDescent="0.2">
      <c r="A79" s="5" t="s">
        <v>12</v>
      </c>
      <c r="B79" s="8" t="s">
        <v>207</v>
      </c>
      <c r="C79" s="15"/>
      <c r="D79" s="26" t="s">
        <v>208</v>
      </c>
      <c r="E79" s="16" t="s">
        <v>209</v>
      </c>
      <c r="F79" s="17">
        <f>H79-100%</f>
        <v>235</v>
      </c>
      <c r="G79" s="18">
        <f>H79*107%</f>
        <v>252.52</v>
      </c>
      <c r="H79" s="19">
        <v>236</v>
      </c>
    </row>
    <row r="80" spans="1:8" ht="42" customHeight="1" x14ac:dyDescent="0.2">
      <c r="A80" s="5" t="s">
        <v>15</v>
      </c>
      <c r="B80" s="8" t="s">
        <v>210</v>
      </c>
      <c r="C80" s="15"/>
      <c r="D80" s="26" t="s">
        <v>211</v>
      </c>
      <c r="E80" s="16" t="s">
        <v>209</v>
      </c>
      <c r="F80" s="17">
        <f>H80-100%</f>
        <v>202</v>
      </c>
      <c r="G80" s="18">
        <f>H80*107%</f>
        <v>217.21</v>
      </c>
      <c r="H80" s="19">
        <v>203</v>
      </c>
    </row>
    <row r="81" spans="1:8" ht="42" customHeight="1" x14ac:dyDescent="0.2">
      <c r="A81" s="5" t="s">
        <v>19</v>
      </c>
      <c r="B81" s="8" t="s">
        <v>212</v>
      </c>
      <c r="C81" s="15"/>
      <c r="D81" s="26" t="s">
        <v>213</v>
      </c>
      <c r="E81" s="16" t="s">
        <v>209</v>
      </c>
      <c r="F81" s="17">
        <f>H81-100%</f>
        <v>234</v>
      </c>
      <c r="G81" s="18">
        <f>H81*107%</f>
        <v>251.45000000000002</v>
      </c>
      <c r="H81" s="19">
        <v>235</v>
      </c>
    </row>
    <row r="82" spans="1:8" ht="42" customHeight="1" x14ac:dyDescent="0.2">
      <c r="A82" s="5" t="s">
        <v>22</v>
      </c>
      <c r="B82" s="8" t="s">
        <v>214</v>
      </c>
      <c r="C82" s="15"/>
      <c r="D82" s="26" t="s">
        <v>215</v>
      </c>
      <c r="E82" s="16" t="s">
        <v>216</v>
      </c>
      <c r="F82" s="17">
        <f>H82-100%</f>
        <v>37</v>
      </c>
      <c r="G82" s="18">
        <f>H82*107%</f>
        <v>40.660000000000004</v>
      </c>
      <c r="H82" s="19">
        <v>38</v>
      </c>
    </row>
    <row r="83" spans="1:8" ht="42" customHeight="1" x14ac:dyDescent="0.2">
      <c r="A83" s="5" t="s">
        <v>26</v>
      </c>
      <c r="B83" s="8" t="s">
        <v>214</v>
      </c>
      <c r="C83" s="15"/>
      <c r="D83" s="27"/>
      <c r="E83" s="16" t="s">
        <v>217</v>
      </c>
      <c r="F83" s="17">
        <f>H83-100%</f>
        <v>74</v>
      </c>
      <c r="G83" s="18">
        <f>H83*107%</f>
        <v>80.25</v>
      </c>
      <c r="H83" s="19">
        <v>75</v>
      </c>
    </row>
    <row r="84" spans="1:8" ht="42" customHeight="1" x14ac:dyDescent="0.2">
      <c r="A84" s="5"/>
      <c r="B84" s="10" t="s">
        <v>218</v>
      </c>
      <c r="C84" s="15"/>
      <c r="D84" s="27"/>
      <c r="E84" s="16"/>
      <c r="F84" s="17">
        <v>0</v>
      </c>
      <c r="G84" s="18">
        <f>H84*107%</f>
        <v>0</v>
      </c>
      <c r="H84" s="19"/>
    </row>
    <row r="85" spans="1:8" ht="42" customHeight="1" x14ac:dyDescent="0.2">
      <c r="A85" s="5" t="s">
        <v>6</v>
      </c>
      <c r="B85" s="8" t="s">
        <v>219</v>
      </c>
      <c r="C85" s="15"/>
      <c r="D85" s="26" t="s">
        <v>220</v>
      </c>
      <c r="E85" s="16"/>
      <c r="F85" s="17">
        <f>H85-100%</f>
        <v>1390</v>
      </c>
      <c r="G85" s="18">
        <f>H85*107%</f>
        <v>1488.3700000000001</v>
      </c>
      <c r="H85" s="19">
        <v>1391</v>
      </c>
    </row>
    <row r="86" spans="1:8" ht="42" customHeight="1" x14ac:dyDescent="0.2">
      <c r="A86" s="5" t="s">
        <v>12</v>
      </c>
      <c r="B86" s="10" t="s">
        <v>221</v>
      </c>
      <c r="C86" s="15"/>
      <c r="D86" s="26" t="s">
        <v>222</v>
      </c>
      <c r="E86" s="16"/>
      <c r="F86" s="17">
        <f>H86-100%</f>
        <v>1711</v>
      </c>
      <c r="G86" s="18">
        <f>H86*107%</f>
        <v>1831.8400000000001</v>
      </c>
      <c r="H86" s="19">
        <v>1712</v>
      </c>
    </row>
    <row r="87" spans="1:8" ht="42" customHeight="1" x14ac:dyDescent="0.2">
      <c r="A87" s="5" t="s">
        <v>15</v>
      </c>
      <c r="B87" s="8" t="s">
        <v>223</v>
      </c>
      <c r="C87" s="15"/>
      <c r="D87" s="26" t="s">
        <v>224</v>
      </c>
      <c r="E87" s="16"/>
      <c r="F87" s="17">
        <v>0</v>
      </c>
      <c r="G87" s="18">
        <f>H87*107%</f>
        <v>0</v>
      </c>
      <c r="H87" s="19"/>
    </row>
    <row r="88" spans="1:8" ht="42" customHeight="1" x14ac:dyDescent="0.2">
      <c r="A88" s="5"/>
      <c r="B88" s="8" t="s">
        <v>225</v>
      </c>
      <c r="C88" s="15"/>
      <c r="D88" s="27"/>
      <c r="E88" s="16"/>
      <c r="F88" s="17">
        <v>0</v>
      </c>
      <c r="G88" s="18">
        <f>H88*107%</f>
        <v>0</v>
      </c>
      <c r="H88" s="19"/>
    </row>
    <row r="89" spans="1:8" ht="42" customHeight="1" x14ac:dyDescent="0.2">
      <c r="A89" s="5" t="s">
        <v>6</v>
      </c>
      <c r="B89" s="8" t="s">
        <v>226</v>
      </c>
      <c r="C89" s="15"/>
      <c r="D89" s="26" t="s">
        <v>227</v>
      </c>
      <c r="E89" s="16"/>
      <c r="F89" s="17">
        <f>H89-100%</f>
        <v>197</v>
      </c>
      <c r="G89" s="18">
        <f>H89*107%</f>
        <v>211.86</v>
      </c>
      <c r="H89" s="19">
        <v>198</v>
      </c>
    </row>
    <row r="90" spans="1:8" ht="42" customHeight="1" x14ac:dyDescent="0.2">
      <c r="A90" s="5"/>
      <c r="B90" s="10" t="s">
        <v>228</v>
      </c>
      <c r="C90" s="15"/>
      <c r="D90" s="27"/>
      <c r="E90" s="16"/>
      <c r="F90" s="17">
        <v>0</v>
      </c>
      <c r="G90" s="18">
        <f>H90*107%</f>
        <v>0</v>
      </c>
      <c r="H90" s="19"/>
    </row>
    <row r="91" spans="1:8" ht="42" customHeight="1" x14ac:dyDescent="0.2">
      <c r="A91" s="5" t="s">
        <v>6</v>
      </c>
      <c r="B91" s="8" t="s">
        <v>229</v>
      </c>
      <c r="C91" s="15"/>
      <c r="D91" s="26" t="s">
        <v>230</v>
      </c>
      <c r="E91" s="16"/>
      <c r="F91" s="17">
        <f>H91-100%</f>
        <v>90</v>
      </c>
      <c r="G91" s="18">
        <f>H91*107%</f>
        <v>97.37</v>
      </c>
      <c r="H91" s="19">
        <v>91</v>
      </c>
    </row>
    <row r="92" spans="1:8" ht="42" customHeight="1" x14ac:dyDescent="0.2">
      <c r="A92" s="5"/>
      <c r="B92" s="10" t="s">
        <v>231</v>
      </c>
      <c r="C92" s="15"/>
      <c r="D92" s="27"/>
      <c r="E92" s="16"/>
      <c r="F92" s="17">
        <v>0</v>
      </c>
      <c r="G92" s="18">
        <f>H92*107%</f>
        <v>0</v>
      </c>
      <c r="H92" s="19"/>
    </row>
    <row r="93" spans="1:8" ht="42" customHeight="1" x14ac:dyDescent="0.2">
      <c r="A93" s="5" t="s">
        <v>6</v>
      </c>
      <c r="B93" s="8" t="s">
        <v>232</v>
      </c>
      <c r="C93" s="15"/>
      <c r="D93" s="26" t="s">
        <v>233</v>
      </c>
      <c r="E93" s="16"/>
      <c r="F93" s="17">
        <f>H93-100%</f>
        <v>96</v>
      </c>
      <c r="G93" s="18">
        <f>H93*107%</f>
        <v>103.79</v>
      </c>
      <c r="H93" s="19">
        <v>97</v>
      </c>
    </row>
    <row r="94" spans="1:8" ht="42" customHeight="1" x14ac:dyDescent="0.2">
      <c r="A94" s="5" t="s">
        <v>12</v>
      </c>
      <c r="B94" s="8" t="s">
        <v>234</v>
      </c>
      <c r="C94" s="15"/>
      <c r="D94" s="26" t="s">
        <v>235</v>
      </c>
      <c r="E94" s="16"/>
      <c r="F94" s="17">
        <f>H94-100%</f>
        <v>122</v>
      </c>
      <c r="G94" s="18">
        <f>H94*107%</f>
        <v>131.61000000000001</v>
      </c>
      <c r="H94" s="19">
        <v>123</v>
      </c>
    </row>
    <row r="95" spans="1:8" ht="42" customHeight="1" x14ac:dyDescent="0.2">
      <c r="A95" s="5" t="s">
        <v>15</v>
      </c>
      <c r="B95" s="8" t="s">
        <v>236</v>
      </c>
      <c r="C95" s="15"/>
      <c r="D95" s="26" t="s">
        <v>237</v>
      </c>
      <c r="E95" s="16"/>
      <c r="F95" s="17">
        <f>H95-100%</f>
        <v>177</v>
      </c>
      <c r="G95" s="18">
        <f>H95*107%</f>
        <v>190.46</v>
      </c>
      <c r="H95" s="19">
        <v>178</v>
      </c>
    </row>
    <row r="96" spans="1:8" ht="42" customHeight="1" x14ac:dyDescent="0.2">
      <c r="A96" s="5" t="s">
        <v>22</v>
      </c>
      <c r="B96" s="10" t="s">
        <v>238</v>
      </c>
      <c r="C96" s="15"/>
      <c r="D96" s="26" t="s">
        <v>239</v>
      </c>
      <c r="E96" s="16"/>
      <c r="F96" s="17">
        <f>H96-100%</f>
        <v>197</v>
      </c>
      <c r="G96" s="18">
        <f>H96*107%</f>
        <v>211.86</v>
      </c>
      <c r="H96" s="19">
        <v>198</v>
      </c>
    </row>
    <row r="97" spans="1:8" ht="42" customHeight="1" x14ac:dyDescent="0.2">
      <c r="A97" s="5" t="s">
        <v>26</v>
      </c>
      <c r="B97" s="8" t="s">
        <v>240</v>
      </c>
      <c r="C97" s="15"/>
      <c r="D97" s="26" t="s">
        <v>241</v>
      </c>
      <c r="E97" s="16"/>
      <c r="F97" s="17">
        <f>H97-100%</f>
        <v>79</v>
      </c>
      <c r="G97" s="18">
        <f>H97*107%</f>
        <v>85.600000000000009</v>
      </c>
      <c r="H97" s="19">
        <v>80</v>
      </c>
    </row>
    <row r="98" spans="1:8" ht="42" customHeight="1" x14ac:dyDescent="0.2">
      <c r="A98" s="5" t="s">
        <v>29</v>
      </c>
      <c r="B98" s="8" t="s">
        <v>242</v>
      </c>
      <c r="C98" s="15"/>
      <c r="D98" s="26" t="s">
        <v>243</v>
      </c>
      <c r="E98" s="16"/>
      <c r="F98" s="17">
        <f>H98-100%</f>
        <v>21</v>
      </c>
      <c r="G98" s="18">
        <f>H98*107%</f>
        <v>23.540000000000003</v>
      </c>
      <c r="H98" s="19">
        <v>22</v>
      </c>
    </row>
    <row r="99" spans="1:8" ht="42" customHeight="1" x14ac:dyDescent="0.2">
      <c r="A99" s="5" t="s">
        <v>33</v>
      </c>
      <c r="B99" s="8" t="s">
        <v>244</v>
      </c>
      <c r="C99" s="15"/>
      <c r="D99" s="26" t="s">
        <v>245</v>
      </c>
      <c r="E99" s="16"/>
      <c r="F99" s="17">
        <f>H99-100%</f>
        <v>53</v>
      </c>
      <c r="G99" s="18">
        <f>H99*107%</f>
        <v>57.78</v>
      </c>
      <c r="H99" s="19">
        <v>54</v>
      </c>
    </row>
    <row r="100" spans="1:8" ht="42" customHeight="1" x14ac:dyDescent="0.2">
      <c r="A100" s="5" t="s">
        <v>36</v>
      </c>
      <c r="B100" s="8" t="s">
        <v>246</v>
      </c>
      <c r="C100" s="15"/>
      <c r="D100" s="26" t="s">
        <v>247</v>
      </c>
      <c r="E100" s="16"/>
      <c r="F100" s="17">
        <f>H100-100%</f>
        <v>15</v>
      </c>
      <c r="G100" s="18">
        <f>H100*107%</f>
        <v>17.12</v>
      </c>
      <c r="H100" s="19">
        <v>16</v>
      </c>
    </row>
    <row r="101" spans="1:8" ht="42" customHeight="1" x14ac:dyDescent="0.2">
      <c r="A101" s="5" t="s">
        <v>40</v>
      </c>
      <c r="B101" s="8" t="s">
        <v>248</v>
      </c>
      <c r="C101" s="15"/>
      <c r="D101" s="26" t="s">
        <v>249</v>
      </c>
      <c r="E101" s="16"/>
      <c r="F101" s="17">
        <f>H101-100%</f>
        <v>47</v>
      </c>
      <c r="G101" s="18">
        <f>H101*107%</f>
        <v>51.36</v>
      </c>
      <c r="H101" s="19">
        <v>48</v>
      </c>
    </row>
    <row r="102" spans="1:8" ht="42" customHeight="1" x14ac:dyDescent="0.2">
      <c r="A102" s="5"/>
      <c r="B102" s="10" t="s">
        <v>250</v>
      </c>
      <c r="C102" s="15"/>
      <c r="D102" s="27"/>
      <c r="E102" s="16"/>
      <c r="F102" s="17">
        <v>0</v>
      </c>
      <c r="G102" s="18">
        <f>H102*107%</f>
        <v>0</v>
      </c>
      <c r="H102" s="19"/>
    </row>
    <row r="103" spans="1:8" ht="42" customHeight="1" x14ac:dyDescent="0.2">
      <c r="A103" s="5" t="s">
        <v>6</v>
      </c>
      <c r="B103" s="8" t="s">
        <v>251</v>
      </c>
      <c r="C103" s="15"/>
      <c r="D103" s="26" t="s">
        <v>252</v>
      </c>
      <c r="E103" s="16"/>
      <c r="F103" s="17">
        <f>H103-100%</f>
        <v>144</v>
      </c>
      <c r="G103" s="18">
        <f>H103*107%</f>
        <v>155.15</v>
      </c>
      <c r="H103" s="19">
        <v>145</v>
      </c>
    </row>
    <row r="104" spans="1:8" ht="42" customHeight="1" x14ac:dyDescent="0.2">
      <c r="A104" s="5" t="s">
        <v>12</v>
      </c>
      <c r="B104" s="8" t="s">
        <v>253</v>
      </c>
      <c r="C104" s="15"/>
      <c r="D104" s="26" t="s">
        <v>254</v>
      </c>
      <c r="E104" s="16"/>
      <c r="F104" s="17">
        <f>H104-100%</f>
        <v>202</v>
      </c>
      <c r="G104" s="18">
        <f>H104*107%</f>
        <v>217.21</v>
      </c>
      <c r="H104" s="19">
        <v>203</v>
      </c>
    </row>
    <row r="105" spans="1:8" ht="42" customHeight="1" x14ac:dyDescent="0.2">
      <c r="A105" s="5" t="s">
        <v>15</v>
      </c>
      <c r="B105" s="8" t="s">
        <v>255</v>
      </c>
      <c r="C105" s="15"/>
      <c r="D105" s="26" t="s">
        <v>256</v>
      </c>
      <c r="E105" s="16"/>
      <c r="F105" s="17">
        <f>H105-100%</f>
        <v>144</v>
      </c>
      <c r="G105" s="18">
        <f>H105*107%</f>
        <v>155.15</v>
      </c>
      <c r="H105" s="19">
        <v>145</v>
      </c>
    </row>
    <row r="106" spans="1:8" ht="42" customHeight="1" x14ac:dyDescent="0.2">
      <c r="A106" s="5" t="s">
        <v>19</v>
      </c>
      <c r="B106" s="8" t="s">
        <v>257</v>
      </c>
      <c r="C106" s="15"/>
      <c r="D106" s="26" t="s">
        <v>258</v>
      </c>
      <c r="E106" s="16"/>
      <c r="F106" s="17">
        <f>H106-100%</f>
        <v>144</v>
      </c>
      <c r="G106" s="18">
        <f>H106*107%</f>
        <v>155.15</v>
      </c>
      <c r="H106" s="19">
        <v>145</v>
      </c>
    </row>
    <row r="107" spans="1:8" ht="42" customHeight="1" x14ac:dyDescent="0.2">
      <c r="A107" s="5" t="s">
        <v>6</v>
      </c>
      <c r="B107" s="8" t="s">
        <v>259</v>
      </c>
      <c r="C107" s="15" t="s">
        <v>8</v>
      </c>
      <c r="D107" s="26" t="s">
        <v>260</v>
      </c>
      <c r="E107" s="16"/>
      <c r="F107" s="17">
        <f>H107-100%</f>
        <v>192</v>
      </c>
      <c r="G107" s="18">
        <f>H107*107%</f>
        <v>206.51000000000002</v>
      </c>
      <c r="H107" s="19">
        <v>193</v>
      </c>
    </row>
    <row r="108" spans="1:8" ht="42" customHeight="1" x14ac:dyDescent="0.2">
      <c r="A108" s="5"/>
      <c r="B108" s="10" t="s">
        <v>261</v>
      </c>
      <c r="C108" s="15"/>
      <c r="D108" s="27"/>
      <c r="E108" s="16"/>
      <c r="F108" s="17">
        <v>0</v>
      </c>
      <c r="G108" s="18">
        <f>H108*107%</f>
        <v>0</v>
      </c>
      <c r="H108" s="19"/>
    </row>
    <row r="109" spans="1:8" ht="42" customHeight="1" x14ac:dyDescent="0.2">
      <c r="A109" s="5" t="s">
        <v>6</v>
      </c>
      <c r="B109" s="8" t="s">
        <v>262</v>
      </c>
      <c r="C109" s="15"/>
      <c r="D109" s="26" t="s">
        <v>263</v>
      </c>
      <c r="E109" s="16"/>
      <c r="F109" s="17">
        <f>H109-100%</f>
        <v>10</v>
      </c>
      <c r="G109" s="18">
        <f>H109*107%</f>
        <v>11.770000000000001</v>
      </c>
      <c r="H109" s="19">
        <v>11</v>
      </c>
    </row>
    <row r="110" spans="1:8" ht="42" customHeight="1" x14ac:dyDescent="0.2">
      <c r="A110" s="5" t="s">
        <v>12</v>
      </c>
      <c r="B110" s="8" t="s">
        <v>264</v>
      </c>
      <c r="C110" s="15"/>
      <c r="D110" s="26" t="s">
        <v>265</v>
      </c>
      <c r="E110" s="16"/>
      <c r="F110" s="17">
        <f>H110-100%</f>
        <v>31</v>
      </c>
      <c r="G110" s="18">
        <f>H110*107%</f>
        <v>34.24</v>
      </c>
      <c r="H110" s="19">
        <v>32</v>
      </c>
    </row>
    <row r="111" spans="1:8" ht="42" customHeight="1" x14ac:dyDescent="0.2">
      <c r="A111" s="5" t="s">
        <v>15</v>
      </c>
      <c r="B111" s="8" t="s">
        <v>266</v>
      </c>
      <c r="C111" s="15"/>
      <c r="D111" s="26" t="s">
        <v>267</v>
      </c>
      <c r="E111" s="16"/>
      <c r="F111" s="17">
        <f>G111-100%</f>
        <v>73.900000000000006</v>
      </c>
      <c r="G111" s="18">
        <f>H111*107%</f>
        <v>74.900000000000006</v>
      </c>
      <c r="H111" s="19">
        <v>70</v>
      </c>
    </row>
    <row r="112" spans="1:8" ht="42" customHeight="1" x14ac:dyDescent="0.2">
      <c r="A112" s="5" t="s">
        <v>19</v>
      </c>
      <c r="B112" s="8" t="s">
        <v>268</v>
      </c>
      <c r="C112" s="15"/>
      <c r="D112" s="26" t="s">
        <v>269</v>
      </c>
      <c r="E112" s="16"/>
      <c r="F112" s="17">
        <f>H112-100%</f>
        <v>74</v>
      </c>
      <c r="G112" s="18">
        <f>H112*107%</f>
        <v>80.25</v>
      </c>
      <c r="H112" s="19">
        <v>75</v>
      </c>
    </row>
    <row r="113" spans="1:8" ht="42" customHeight="1" x14ac:dyDescent="0.2">
      <c r="A113" s="5" t="s">
        <v>22</v>
      </c>
      <c r="B113" s="8" t="s">
        <v>270</v>
      </c>
      <c r="C113" s="15"/>
      <c r="D113" s="26" t="s">
        <v>271</v>
      </c>
      <c r="E113" s="16"/>
      <c r="F113" s="17">
        <f>H113-100%</f>
        <v>63</v>
      </c>
      <c r="G113" s="18">
        <f>H113*107%</f>
        <v>68.48</v>
      </c>
      <c r="H113" s="19">
        <v>64</v>
      </c>
    </row>
    <row r="114" spans="1:8" ht="42" customHeight="1" x14ac:dyDescent="0.2">
      <c r="A114" s="5" t="s">
        <v>6</v>
      </c>
      <c r="B114" s="8" t="s">
        <v>272</v>
      </c>
      <c r="C114" s="15"/>
      <c r="D114" s="26" t="s">
        <v>273</v>
      </c>
      <c r="E114" s="16"/>
      <c r="F114" s="17">
        <f>H114-100%</f>
        <v>213</v>
      </c>
      <c r="G114" s="18">
        <f>H114*107%</f>
        <v>228.98000000000002</v>
      </c>
      <c r="H114" s="19">
        <v>214</v>
      </c>
    </row>
    <row r="115" spans="1:8" ht="42" customHeight="1" x14ac:dyDescent="0.2">
      <c r="A115" s="5" t="s">
        <v>12</v>
      </c>
      <c r="B115" s="8" t="s">
        <v>274</v>
      </c>
      <c r="C115" s="15"/>
      <c r="D115" s="26" t="s">
        <v>275</v>
      </c>
      <c r="E115" s="16"/>
      <c r="F115" s="17">
        <f>H115-100%</f>
        <v>181</v>
      </c>
      <c r="G115" s="18">
        <f>H115*107%</f>
        <v>194.74</v>
      </c>
      <c r="H115" s="19">
        <v>182</v>
      </c>
    </row>
    <row r="116" spans="1:8" ht="42" customHeight="1" x14ac:dyDescent="0.2">
      <c r="A116" s="5" t="s">
        <v>6</v>
      </c>
      <c r="B116" s="8" t="s">
        <v>276</v>
      </c>
      <c r="C116" s="15"/>
      <c r="D116" s="26" t="s">
        <v>277</v>
      </c>
      <c r="E116" s="16"/>
      <c r="F116" s="17">
        <f>H116-100%</f>
        <v>10</v>
      </c>
      <c r="G116" s="18">
        <f>H116*107%</f>
        <v>11.770000000000001</v>
      </c>
      <c r="H116" s="19">
        <v>11</v>
      </c>
    </row>
    <row r="117" spans="1:8" ht="42" customHeight="1" x14ac:dyDescent="0.2">
      <c r="A117" s="5" t="s">
        <v>12</v>
      </c>
      <c r="B117" s="8" t="s">
        <v>278</v>
      </c>
      <c r="C117" s="15"/>
      <c r="D117" s="26" t="s">
        <v>279</v>
      </c>
      <c r="E117" s="16"/>
      <c r="F117" s="17">
        <f>H117-100%</f>
        <v>85</v>
      </c>
      <c r="G117" s="18">
        <f>H117*107%</f>
        <v>92.02000000000001</v>
      </c>
      <c r="H117" s="19">
        <v>86</v>
      </c>
    </row>
    <row r="118" spans="1:8" ht="42" customHeight="1" x14ac:dyDescent="0.2">
      <c r="A118" s="5" t="s">
        <v>15</v>
      </c>
      <c r="B118" s="8" t="s">
        <v>280</v>
      </c>
      <c r="C118" s="15"/>
      <c r="D118" s="27" t="s">
        <v>281</v>
      </c>
      <c r="E118" s="16"/>
      <c r="F118" s="17">
        <f>H118-100%</f>
        <v>26</v>
      </c>
      <c r="G118" s="18">
        <f>H118*107%</f>
        <v>28.89</v>
      </c>
      <c r="H118" s="19">
        <v>27</v>
      </c>
    </row>
    <row r="119" spans="1:8" ht="42" customHeight="1" x14ac:dyDescent="0.2">
      <c r="A119" s="5" t="s">
        <v>19</v>
      </c>
      <c r="B119" s="8" t="s">
        <v>282</v>
      </c>
      <c r="C119" s="15"/>
      <c r="D119" s="26" t="s">
        <v>283</v>
      </c>
      <c r="E119" s="16"/>
      <c r="F119" s="17">
        <f>H119-100%</f>
        <v>26</v>
      </c>
      <c r="G119" s="18">
        <f>H119*107%</f>
        <v>28.89</v>
      </c>
      <c r="H119" s="19">
        <v>27</v>
      </c>
    </row>
    <row r="120" spans="1:8" ht="42" customHeight="1" x14ac:dyDescent="0.2">
      <c r="A120" s="5" t="s">
        <v>22</v>
      </c>
      <c r="B120" s="8" t="s">
        <v>284</v>
      </c>
      <c r="C120" s="15"/>
      <c r="D120" s="26" t="s">
        <v>285</v>
      </c>
      <c r="E120" s="16"/>
      <c r="F120" s="17">
        <f>H120-100%</f>
        <v>2</v>
      </c>
      <c r="G120" s="18">
        <f>H120*107%</f>
        <v>3.21</v>
      </c>
      <c r="H120" s="19">
        <v>3</v>
      </c>
    </row>
    <row r="121" spans="1:8" ht="42" customHeight="1" x14ac:dyDescent="0.2">
      <c r="A121" s="5" t="s">
        <v>26</v>
      </c>
      <c r="B121" s="8" t="s">
        <v>286</v>
      </c>
      <c r="C121" s="15"/>
      <c r="D121" s="26" t="s">
        <v>287</v>
      </c>
      <c r="E121" s="16"/>
      <c r="F121" s="17">
        <f>H121-100%</f>
        <v>5</v>
      </c>
      <c r="G121" s="18">
        <f>H121*107%</f>
        <v>6.42</v>
      </c>
      <c r="H121" s="19">
        <v>6</v>
      </c>
    </row>
    <row r="122" spans="1:8" ht="42" customHeight="1" x14ac:dyDescent="0.2">
      <c r="A122" s="5" t="s">
        <v>29</v>
      </c>
      <c r="B122" s="8" t="s">
        <v>288</v>
      </c>
      <c r="C122" s="15"/>
      <c r="D122" s="26" t="s">
        <v>289</v>
      </c>
      <c r="E122" s="16"/>
      <c r="F122" s="17">
        <f>H122-100%</f>
        <v>30</v>
      </c>
      <c r="G122" s="18">
        <f>H122*107%</f>
        <v>33.17</v>
      </c>
      <c r="H122" s="19">
        <v>31</v>
      </c>
    </row>
    <row r="123" spans="1:8" ht="42" customHeight="1" x14ac:dyDescent="0.2">
      <c r="A123" s="5" t="s">
        <v>33</v>
      </c>
      <c r="B123" s="8" t="s">
        <v>290</v>
      </c>
      <c r="C123" s="15"/>
      <c r="D123" s="26" t="s">
        <v>289</v>
      </c>
      <c r="E123" s="16"/>
      <c r="F123" s="17">
        <f>H123-100%</f>
        <v>30</v>
      </c>
      <c r="G123" s="18">
        <f>H123*107%</f>
        <v>33.17</v>
      </c>
      <c r="H123" s="19">
        <v>31</v>
      </c>
    </row>
    <row r="124" spans="1:8" ht="42" customHeight="1" x14ac:dyDescent="0.2">
      <c r="A124" s="5" t="s">
        <v>36</v>
      </c>
      <c r="B124" s="8" t="s">
        <v>291</v>
      </c>
      <c r="C124" s="15"/>
      <c r="D124" s="27"/>
      <c r="E124" s="16"/>
      <c r="F124" s="17">
        <f>H124-100%</f>
        <v>10</v>
      </c>
      <c r="G124" s="18">
        <f>H124*107%</f>
        <v>11.770000000000001</v>
      </c>
      <c r="H124" s="19">
        <v>11</v>
      </c>
    </row>
    <row r="125" spans="1:8" ht="42" customHeight="1" x14ac:dyDescent="0.2">
      <c r="A125" s="5" t="s">
        <v>40</v>
      </c>
      <c r="B125" s="8" t="s">
        <v>292</v>
      </c>
      <c r="C125" s="15"/>
      <c r="D125" s="27"/>
      <c r="E125" s="16"/>
      <c r="F125" s="17">
        <f>H125-100%</f>
        <v>10</v>
      </c>
      <c r="G125" s="18">
        <f>H125*107%</f>
        <v>11.770000000000001</v>
      </c>
      <c r="H125" s="19">
        <v>11</v>
      </c>
    </row>
    <row r="126" spans="1:8" ht="42" customHeight="1" x14ac:dyDescent="0.2">
      <c r="A126" s="5" t="s">
        <v>44</v>
      </c>
      <c r="B126" s="8" t="s">
        <v>293</v>
      </c>
      <c r="C126" s="15"/>
      <c r="D126" s="27"/>
      <c r="E126" s="16"/>
      <c r="F126" s="17">
        <f>H126-100%</f>
        <v>26</v>
      </c>
      <c r="G126" s="18">
        <f>H126*107%</f>
        <v>28.89</v>
      </c>
      <c r="H126" s="19">
        <v>27</v>
      </c>
    </row>
    <row r="127" spans="1:8" ht="42" customHeight="1" x14ac:dyDescent="0.2">
      <c r="A127" s="5" t="s">
        <v>47</v>
      </c>
      <c r="B127" s="8" t="s">
        <v>294</v>
      </c>
      <c r="C127" s="15"/>
      <c r="D127" s="27"/>
      <c r="E127" s="16"/>
      <c r="F127" s="17">
        <f>H127-100%</f>
        <v>10</v>
      </c>
      <c r="G127" s="18">
        <f>H127*107%</f>
        <v>11.770000000000001</v>
      </c>
      <c r="H127" s="19">
        <v>11</v>
      </c>
    </row>
    <row r="128" spans="1:8" ht="42" customHeight="1" x14ac:dyDescent="0.2">
      <c r="A128" s="5" t="s">
        <v>50</v>
      </c>
      <c r="B128" s="8" t="s">
        <v>295</v>
      </c>
      <c r="C128" s="15"/>
      <c r="D128" s="27"/>
      <c r="E128" s="16"/>
      <c r="F128" s="17">
        <f>H128-100%</f>
        <v>69</v>
      </c>
      <c r="G128" s="18">
        <f>H128*107%</f>
        <v>74.900000000000006</v>
      </c>
      <c r="H128" s="19">
        <v>70</v>
      </c>
    </row>
    <row r="129" spans="1:8" ht="42" customHeight="1" x14ac:dyDescent="0.2">
      <c r="A129" s="5" t="s">
        <v>53</v>
      </c>
      <c r="B129" s="8" t="s">
        <v>296</v>
      </c>
      <c r="C129" s="15"/>
      <c r="D129" s="27"/>
      <c r="E129" s="16"/>
      <c r="F129" s="17">
        <f>H129-100%</f>
        <v>106</v>
      </c>
      <c r="G129" s="18">
        <f>H129*107%</f>
        <v>114.49000000000001</v>
      </c>
      <c r="H129" s="19">
        <v>107</v>
      </c>
    </row>
    <row r="130" spans="1:8" ht="42" customHeight="1" x14ac:dyDescent="0.2">
      <c r="A130" s="5" t="s">
        <v>57</v>
      </c>
      <c r="B130" s="8" t="s">
        <v>297</v>
      </c>
      <c r="C130" s="15"/>
      <c r="D130" s="27"/>
      <c r="E130" s="16"/>
      <c r="F130" s="17">
        <f>H130-100%</f>
        <v>21</v>
      </c>
      <c r="G130" s="18">
        <f>H130*107%</f>
        <v>23.540000000000003</v>
      </c>
      <c r="H130" s="19">
        <v>22</v>
      </c>
    </row>
    <row r="131" spans="1:8" ht="42" customHeight="1" x14ac:dyDescent="0.2">
      <c r="A131" s="5" t="s">
        <v>6</v>
      </c>
      <c r="B131" s="8" t="s">
        <v>298</v>
      </c>
      <c r="C131" s="15" t="s">
        <v>89</v>
      </c>
      <c r="D131" s="26" t="s">
        <v>299</v>
      </c>
      <c r="E131" s="16"/>
      <c r="F131" s="25"/>
      <c r="G131" s="18">
        <f>H131*107%</f>
        <v>0</v>
      </c>
      <c r="H131" s="19"/>
    </row>
    <row r="132" spans="1:8" ht="42" customHeight="1" x14ac:dyDescent="0.2">
      <c r="A132" s="5" t="s">
        <v>12</v>
      </c>
      <c r="B132" s="8" t="s">
        <v>300</v>
      </c>
      <c r="C132" s="15" t="s">
        <v>301</v>
      </c>
      <c r="D132" s="27"/>
      <c r="E132" s="16"/>
      <c r="F132" s="17"/>
      <c r="G132" s="18">
        <f>H132*107%</f>
        <v>0</v>
      </c>
      <c r="H132" s="19"/>
    </row>
    <row r="133" spans="1:8" ht="42" customHeight="1" x14ac:dyDescent="0.2">
      <c r="A133" s="5" t="s">
        <v>15</v>
      </c>
      <c r="B133" s="8" t="s">
        <v>302</v>
      </c>
      <c r="C133" s="15"/>
      <c r="D133" s="26" t="s">
        <v>303</v>
      </c>
      <c r="E133" s="16"/>
      <c r="F133" s="17"/>
      <c r="G133" s="18">
        <f>H133*107%</f>
        <v>0</v>
      </c>
      <c r="H133" s="19"/>
    </row>
    <row r="134" spans="1:8" ht="42" customHeight="1" x14ac:dyDescent="0.2">
      <c r="A134" s="5" t="s">
        <v>19</v>
      </c>
      <c r="B134" s="8" t="s">
        <v>304</v>
      </c>
      <c r="C134" s="15"/>
      <c r="D134" s="27" t="s">
        <v>305</v>
      </c>
      <c r="E134" s="16"/>
      <c r="F134" s="17"/>
      <c r="G134" s="18">
        <f>H134*107%</f>
        <v>0</v>
      </c>
      <c r="H134" s="19"/>
    </row>
    <row r="135" spans="1:8" ht="42" customHeight="1" x14ac:dyDescent="0.2">
      <c r="A135" s="5" t="s">
        <v>22</v>
      </c>
      <c r="B135" s="8" t="s">
        <v>306</v>
      </c>
      <c r="C135" s="15"/>
      <c r="D135" s="26" t="s">
        <v>307</v>
      </c>
      <c r="E135" s="16"/>
      <c r="F135" s="17"/>
      <c r="G135" s="18">
        <f>H135*107%</f>
        <v>0</v>
      </c>
      <c r="H135" s="19"/>
    </row>
    <row r="136" spans="1:8" ht="42" customHeight="1" x14ac:dyDescent="0.2">
      <c r="A136" s="5" t="s">
        <v>6</v>
      </c>
      <c r="B136" s="8" t="s">
        <v>308</v>
      </c>
      <c r="C136" s="15"/>
      <c r="D136" s="26" t="s">
        <v>309</v>
      </c>
      <c r="E136" s="16"/>
      <c r="F136" s="17">
        <f>H136-100%</f>
        <v>2674</v>
      </c>
      <c r="G136" s="18">
        <f>H136*107%</f>
        <v>2862.25</v>
      </c>
      <c r="H136" s="19">
        <v>2675</v>
      </c>
    </row>
  </sheetData>
  <autoFilter ref="A1:H136" xr:uid="{00000000-0009-0000-0000-000000000000}"/>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62"/>
  <sheetViews>
    <sheetView rightToLeft="1" topLeftCell="G1" workbookViewId="0">
      <pane ySplit="1" topLeftCell="A154" activePane="bottomLeft" state="frozen"/>
      <selection pane="bottomLeft" sqref="A1:L162"/>
    </sheetView>
  </sheetViews>
  <sheetFormatPr defaultRowHeight="14.25" x14ac:dyDescent="0.2"/>
  <cols>
    <col min="1" max="2" width="9" customWidth="1"/>
    <col min="3" max="4" width="30" customWidth="1"/>
    <col min="5" max="12" width="25" customWidth="1"/>
  </cols>
  <sheetData>
    <row r="1" spans="1:12" ht="30" customHeight="1" x14ac:dyDescent="0.2">
      <c r="A1" s="4"/>
      <c r="B1" s="4"/>
      <c r="C1" s="4"/>
      <c r="D1" s="4"/>
      <c r="E1" s="4"/>
      <c r="F1" s="4"/>
      <c r="G1" s="4"/>
      <c r="H1" s="4"/>
      <c r="I1" s="4"/>
      <c r="J1" s="4"/>
      <c r="K1" s="4"/>
      <c r="L1" s="4"/>
    </row>
    <row r="2" spans="1:12" ht="32.1" customHeight="1" x14ac:dyDescent="0.2">
      <c r="A2" s="2"/>
      <c r="B2" s="2"/>
      <c r="C2" s="2"/>
      <c r="D2" s="2"/>
      <c r="E2" s="2"/>
      <c r="F2" s="2"/>
      <c r="G2" s="2"/>
      <c r="H2" s="2"/>
      <c r="I2" s="2"/>
      <c r="J2" s="2"/>
      <c r="K2" s="2"/>
      <c r="L2" s="2"/>
    </row>
    <row r="3" spans="1:12" ht="32.1" customHeight="1" x14ac:dyDescent="0.2">
      <c r="A3" s="2"/>
      <c r="B3" s="2"/>
      <c r="C3" s="2"/>
      <c r="D3" s="2"/>
      <c r="E3" s="2"/>
      <c r="F3" s="2"/>
      <c r="G3" s="2"/>
      <c r="H3" s="2"/>
      <c r="I3" s="2"/>
      <c r="J3" s="3"/>
      <c r="K3" s="3"/>
      <c r="L3" s="3"/>
    </row>
    <row r="4" spans="1:12" ht="32.1" customHeight="1" x14ac:dyDescent="0.2">
      <c r="A4" s="2"/>
      <c r="B4" s="2"/>
      <c r="C4" s="2"/>
      <c r="D4" s="2"/>
      <c r="E4" s="2"/>
      <c r="F4" s="2"/>
      <c r="G4" s="2"/>
      <c r="H4" s="2"/>
      <c r="I4" s="2"/>
      <c r="J4" s="2"/>
      <c r="K4" s="2"/>
      <c r="L4" s="2"/>
    </row>
    <row r="5" spans="1:12" ht="32.1" customHeight="1" x14ac:dyDescent="0.2">
      <c r="A5" s="2"/>
      <c r="B5" s="2"/>
      <c r="C5" s="2"/>
      <c r="D5" s="2"/>
      <c r="E5" s="2"/>
      <c r="F5" s="2"/>
      <c r="G5" s="2"/>
      <c r="H5" s="3"/>
      <c r="I5" s="2"/>
      <c r="J5" s="2"/>
      <c r="K5" s="2"/>
      <c r="L5" s="2"/>
    </row>
    <row r="6" spans="1:12" ht="32.1" customHeight="1" x14ac:dyDescent="0.2">
      <c r="A6" s="2"/>
      <c r="B6" s="2"/>
      <c r="C6" s="2"/>
      <c r="D6" s="2"/>
      <c r="E6" s="2"/>
      <c r="F6" s="2"/>
      <c r="G6" s="2"/>
      <c r="H6" s="3"/>
      <c r="I6" s="2"/>
      <c r="J6" s="2"/>
      <c r="K6" s="2"/>
      <c r="L6" s="2"/>
    </row>
    <row r="7" spans="1:12" ht="32.1" customHeight="1" x14ac:dyDescent="0.2">
      <c r="A7" s="2"/>
      <c r="B7" s="2"/>
      <c r="C7" s="2"/>
      <c r="D7" s="2"/>
      <c r="E7" s="2"/>
      <c r="F7" s="2"/>
      <c r="G7" s="2"/>
      <c r="H7" s="3"/>
      <c r="I7" s="2"/>
      <c r="J7" s="2"/>
      <c r="K7" s="2"/>
      <c r="L7" s="2"/>
    </row>
    <row r="8" spans="1:12" ht="32.1" customHeight="1" x14ac:dyDescent="0.2">
      <c r="A8" s="2"/>
      <c r="B8" s="2"/>
      <c r="C8" s="2"/>
      <c r="D8" s="2"/>
      <c r="E8" s="2"/>
      <c r="F8" s="2"/>
      <c r="G8" s="2"/>
      <c r="H8" s="3"/>
      <c r="I8" s="2"/>
      <c r="J8" s="2"/>
      <c r="K8" s="2"/>
      <c r="L8" s="2"/>
    </row>
    <row r="9" spans="1:12" ht="32.1" customHeight="1" x14ac:dyDescent="0.2">
      <c r="A9" s="2"/>
      <c r="B9" s="2"/>
      <c r="C9" s="2"/>
      <c r="D9" s="2"/>
      <c r="E9" s="2"/>
      <c r="F9" s="2"/>
      <c r="G9" s="2"/>
      <c r="H9" s="3"/>
      <c r="I9" s="2"/>
      <c r="J9" s="2"/>
      <c r="K9" s="2"/>
      <c r="L9" s="2"/>
    </row>
    <row r="10" spans="1:12" ht="32.1" customHeight="1" x14ac:dyDescent="0.2">
      <c r="A10" s="2"/>
      <c r="B10" s="2"/>
      <c r="C10" s="2"/>
      <c r="D10" s="2"/>
      <c r="E10" s="2"/>
      <c r="F10" s="2"/>
      <c r="G10" s="2"/>
      <c r="H10" s="3"/>
      <c r="I10" s="2"/>
      <c r="J10" s="2"/>
      <c r="K10" s="2"/>
      <c r="L10" s="2"/>
    </row>
    <row r="11" spans="1:12" ht="32.1" customHeight="1" x14ac:dyDescent="0.2">
      <c r="A11" s="2"/>
      <c r="B11" s="2"/>
      <c r="C11" s="2"/>
      <c r="D11" s="2"/>
      <c r="E11" s="2"/>
      <c r="F11" s="2"/>
      <c r="G11" s="2"/>
      <c r="H11" s="3"/>
      <c r="I11" s="2"/>
      <c r="J11" s="2"/>
      <c r="K11" s="2"/>
      <c r="L11" s="2"/>
    </row>
    <row r="12" spans="1:12" ht="32.1" customHeight="1" x14ac:dyDescent="0.2">
      <c r="A12" s="2"/>
      <c r="B12" s="2"/>
      <c r="C12" s="2"/>
      <c r="D12" s="2"/>
      <c r="E12" s="2"/>
      <c r="F12" s="2"/>
      <c r="G12" s="2"/>
      <c r="H12" s="3"/>
      <c r="I12" s="2"/>
      <c r="J12" s="2"/>
      <c r="K12" s="2"/>
      <c r="L12" s="2"/>
    </row>
    <row r="13" spans="1:12" ht="32.1" customHeight="1" x14ac:dyDescent="0.2">
      <c r="A13" s="2"/>
      <c r="B13" s="2"/>
      <c r="C13" s="2"/>
      <c r="D13" s="2"/>
      <c r="E13" s="2"/>
      <c r="F13" s="2"/>
      <c r="G13" s="2"/>
      <c r="H13" s="3"/>
      <c r="I13" s="2"/>
      <c r="J13" s="2"/>
      <c r="K13" s="2"/>
      <c r="L13" s="2"/>
    </row>
    <row r="14" spans="1:12" ht="32.1" customHeight="1" x14ac:dyDescent="0.2">
      <c r="A14" s="2"/>
      <c r="B14" s="2"/>
      <c r="C14" s="2"/>
      <c r="D14" s="2"/>
      <c r="E14" s="2"/>
      <c r="F14" s="2"/>
      <c r="G14" s="2"/>
      <c r="H14" s="3"/>
      <c r="I14" s="2"/>
      <c r="J14" s="2"/>
      <c r="K14" s="2"/>
      <c r="L14" s="2"/>
    </row>
    <row r="15" spans="1:12" ht="32.1" customHeight="1" x14ac:dyDescent="0.2">
      <c r="A15" s="2"/>
      <c r="B15" s="2"/>
      <c r="C15" s="2"/>
      <c r="D15" s="2"/>
      <c r="E15" s="2"/>
      <c r="F15" s="2"/>
      <c r="G15" s="2"/>
      <c r="H15" s="3"/>
      <c r="I15" s="2"/>
      <c r="J15" s="2"/>
      <c r="K15" s="2"/>
      <c r="L15" s="2"/>
    </row>
    <row r="16" spans="1:12" ht="32.1" customHeight="1" x14ac:dyDescent="0.2">
      <c r="A16" s="2"/>
      <c r="B16" s="2"/>
      <c r="C16" s="2"/>
      <c r="D16" s="2"/>
      <c r="E16" s="2"/>
      <c r="F16" s="2"/>
      <c r="G16" s="2"/>
      <c r="H16" s="3"/>
      <c r="I16" s="2"/>
      <c r="J16" s="2"/>
      <c r="K16" s="2"/>
      <c r="L16" s="2"/>
    </row>
    <row r="17" spans="1:12" ht="32.1" customHeight="1" x14ac:dyDescent="0.2">
      <c r="A17" s="2"/>
      <c r="B17" s="2"/>
      <c r="C17" s="2"/>
      <c r="D17" s="2"/>
      <c r="E17" s="2"/>
      <c r="F17" s="2"/>
      <c r="G17" s="2"/>
      <c r="H17" s="3"/>
      <c r="I17" s="2"/>
      <c r="J17" s="2"/>
      <c r="K17" s="2"/>
      <c r="L17" s="2"/>
    </row>
    <row r="18" spans="1:12" ht="32.1" customHeight="1" x14ac:dyDescent="0.2">
      <c r="A18" s="2"/>
      <c r="B18" s="2"/>
      <c r="C18" s="2"/>
      <c r="D18" s="2"/>
      <c r="E18" s="2"/>
      <c r="F18" s="2"/>
      <c r="G18" s="2"/>
      <c r="H18" s="3"/>
      <c r="I18" s="2"/>
      <c r="J18" s="2"/>
      <c r="K18" s="2"/>
      <c r="L18" s="2"/>
    </row>
    <row r="19" spans="1:12" ht="32.1" customHeight="1" x14ac:dyDescent="0.2">
      <c r="A19" s="2"/>
      <c r="B19" s="2"/>
      <c r="C19" s="2"/>
      <c r="D19" s="2"/>
      <c r="E19" s="2"/>
      <c r="F19" s="2"/>
      <c r="G19" s="2"/>
      <c r="H19" s="3"/>
      <c r="I19" s="2"/>
      <c r="J19" s="2"/>
      <c r="K19" s="2"/>
      <c r="L19" s="2"/>
    </row>
    <row r="20" spans="1:12" ht="32.1" customHeight="1" x14ac:dyDescent="0.2">
      <c r="A20" s="2"/>
      <c r="B20" s="2"/>
      <c r="C20" s="2"/>
      <c r="D20" s="2"/>
      <c r="E20" s="2"/>
      <c r="F20" s="2"/>
      <c r="G20" s="2"/>
      <c r="H20" s="3"/>
      <c r="I20" s="2"/>
      <c r="J20" s="2"/>
      <c r="K20" s="2"/>
      <c r="L20" s="2"/>
    </row>
    <row r="21" spans="1:12" ht="32.1" customHeight="1" x14ac:dyDescent="0.2">
      <c r="A21" s="2"/>
      <c r="B21" s="2"/>
      <c r="C21" s="2"/>
      <c r="D21" s="2"/>
      <c r="E21" s="2"/>
      <c r="F21" s="2"/>
      <c r="G21" s="2"/>
      <c r="H21" s="3"/>
      <c r="I21" s="2"/>
      <c r="J21" s="2"/>
      <c r="K21" s="2"/>
      <c r="L21" s="2"/>
    </row>
    <row r="22" spans="1:12" ht="32.1" customHeight="1" x14ac:dyDescent="0.2">
      <c r="A22" s="2"/>
      <c r="B22" s="2"/>
      <c r="C22" s="2"/>
      <c r="D22" s="2"/>
      <c r="E22" s="2"/>
      <c r="F22" s="2"/>
      <c r="G22" s="2"/>
      <c r="H22" s="3"/>
      <c r="I22" s="2"/>
      <c r="J22" s="2"/>
      <c r="K22" s="2"/>
      <c r="L22" s="2"/>
    </row>
    <row r="23" spans="1:12" ht="32.1" customHeight="1" x14ac:dyDescent="0.2">
      <c r="A23" s="2"/>
      <c r="B23" s="2"/>
      <c r="C23" s="2"/>
      <c r="D23" s="2"/>
      <c r="E23" s="2"/>
      <c r="F23" s="2"/>
      <c r="G23" s="2"/>
      <c r="H23" s="3"/>
      <c r="I23" s="2"/>
      <c r="J23" s="2"/>
      <c r="K23" s="2"/>
      <c r="L23" s="2"/>
    </row>
    <row r="24" spans="1:12" ht="32.1" customHeight="1" x14ac:dyDescent="0.2">
      <c r="A24" s="2"/>
      <c r="B24" s="2"/>
      <c r="C24" s="2"/>
      <c r="D24" s="2"/>
      <c r="E24" s="2"/>
      <c r="F24" s="2"/>
      <c r="G24" s="2"/>
      <c r="H24" s="3"/>
      <c r="I24" s="2"/>
      <c r="J24" s="2"/>
      <c r="K24" s="2"/>
      <c r="L24" s="2"/>
    </row>
    <row r="25" spans="1:12" ht="32.1" customHeight="1" x14ac:dyDescent="0.2">
      <c r="A25" s="2"/>
      <c r="B25" s="2"/>
      <c r="C25" s="2"/>
      <c r="D25" s="2"/>
      <c r="E25" s="2"/>
      <c r="F25" s="2"/>
      <c r="G25" s="2"/>
      <c r="H25" s="3"/>
      <c r="I25" s="2"/>
      <c r="J25" s="2"/>
      <c r="K25" s="2"/>
      <c r="L25" s="2"/>
    </row>
    <row r="26" spans="1:12" ht="32.1" customHeight="1" x14ac:dyDescent="0.2">
      <c r="A26" s="2"/>
      <c r="B26" s="2"/>
      <c r="C26" s="2"/>
      <c r="D26" s="2"/>
      <c r="E26" s="2"/>
      <c r="F26" s="2"/>
      <c r="G26" s="2"/>
      <c r="H26" s="3"/>
      <c r="I26" s="2"/>
      <c r="J26" s="2"/>
      <c r="K26" s="2"/>
      <c r="L26" s="2"/>
    </row>
    <row r="27" spans="1:12" ht="32.1" customHeight="1" x14ac:dyDescent="0.2">
      <c r="A27" s="2"/>
      <c r="B27" s="2"/>
      <c r="C27" s="2"/>
      <c r="D27" s="2"/>
      <c r="E27" s="3"/>
      <c r="F27" s="2"/>
      <c r="G27" s="2"/>
      <c r="H27" s="2"/>
      <c r="I27" s="2"/>
      <c r="J27" s="2"/>
      <c r="K27" s="2"/>
      <c r="L27" s="2"/>
    </row>
    <row r="28" spans="1:12" ht="32.1" customHeight="1" x14ac:dyDescent="0.2">
      <c r="A28" s="2"/>
      <c r="B28" s="2"/>
      <c r="C28" s="2"/>
      <c r="D28" s="2"/>
      <c r="E28" s="2"/>
      <c r="F28" s="2"/>
      <c r="G28" s="2"/>
      <c r="H28" s="3"/>
      <c r="I28" s="2"/>
      <c r="J28" s="2"/>
      <c r="K28" s="2"/>
      <c r="L28" s="2"/>
    </row>
    <row r="29" spans="1:12" ht="32.1" customHeight="1" x14ac:dyDescent="0.2">
      <c r="A29" s="2"/>
      <c r="B29" s="2"/>
      <c r="C29" s="2"/>
      <c r="D29" s="2"/>
      <c r="E29" s="2"/>
      <c r="F29" s="2"/>
      <c r="G29" s="2"/>
      <c r="H29" s="2"/>
      <c r="I29" s="2"/>
      <c r="J29" s="2"/>
      <c r="K29" s="2"/>
      <c r="L29" s="2"/>
    </row>
    <row r="30" spans="1:12" ht="32.1" customHeight="1" x14ac:dyDescent="0.2">
      <c r="A30" s="2"/>
      <c r="B30" s="2"/>
      <c r="C30" s="2"/>
      <c r="D30" s="2"/>
      <c r="E30" s="2"/>
      <c r="F30" s="2"/>
      <c r="G30" s="2"/>
      <c r="H30" s="3"/>
      <c r="I30" s="2"/>
      <c r="J30" s="2"/>
      <c r="K30" s="2"/>
      <c r="L30" s="2"/>
    </row>
    <row r="31" spans="1:12" ht="32.1" customHeight="1" x14ac:dyDescent="0.2">
      <c r="A31" s="2"/>
      <c r="B31" s="2"/>
      <c r="C31" s="2"/>
      <c r="D31" s="2"/>
      <c r="E31" s="2"/>
      <c r="F31" s="2"/>
      <c r="G31" s="2"/>
      <c r="H31" s="3"/>
      <c r="I31" s="2"/>
      <c r="J31" s="2"/>
      <c r="K31" s="2"/>
      <c r="L31" s="2"/>
    </row>
    <row r="32" spans="1:12" ht="32.1" customHeight="1" x14ac:dyDescent="0.2">
      <c r="A32" s="2"/>
      <c r="B32" s="2"/>
      <c r="C32" s="2"/>
      <c r="D32" s="2"/>
      <c r="E32" s="2"/>
      <c r="F32" s="2"/>
      <c r="G32" s="2"/>
      <c r="H32" s="3"/>
      <c r="I32" s="2"/>
      <c r="J32" s="2"/>
      <c r="K32" s="2"/>
      <c r="L32" s="2"/>
    </row>
    <row r="33" spans="1:12" ht="32.1" customHeight="1" x14ac:dyDescent="0.2">
      <c r="A33" s="2"/>
      <c r="B33" s="2"/>
      <c r="C33" s="2"/>
      <c r="D33" s="2"/>
      <c r="E33" s="2"/>
      <c r="F33" s="2"/>
      <c r="G33" s="2"/>
      <c r="H33" s="3"/>
      <c r="I33" s="2"/>
      <c r="J33" s="2"/>
      <c r="K33" s="2"/>
      <c r="L33" s="2"/>
    </row>
    <row r="34" spans="1:12" ht="32.1" customHeight="1" x14ac:dyDescent="0.2">
      <c r="A34" s="2"/>
      <c r="B34" s="2"/>
      <c r="C34" s="2"/>
      <c r="D34" s="2"/>
      <c r="E34" s="2"/>
      <c r="F34" s="2"/>
      <c r="G34" s="2"/>
      <c r="H34" s="3"/>
      <c r="I34" s="2"/>
      <c r="J34" s="2"/>
      <c r="K34" s="2"/>
      <c r="L34" s="2"/>
    </row>
    <row r="35" spans="1:12" ht="32.1" customHeight="1" x14ac:dyDescent="0.2">
      <c r="A35" s="2"/>
      <c r="B35" s="2"/>
      <c r="C35" s="2"/>
      <c r="D35" s="2"/>
      <c r="E35" s="2"/>
      <c r="F35" s="2"/>
      <c r="G35" s="2"/>
      <c r="H35" s="3"/>
      <c r="I35" s="2"/>
      <c r="J35" s="2"/>
      <c r="K35" s="2"/>
      <c r="L35" s="2"/>
    </row>
    <row r="36" spans="1:12" ht="32.1" customHeight="1" x14ac:dyDescent="0.2">
      <c r="A36" s="2"/>
      <c r="B36" s="2"/>
      <c r="C36" s="2"/>
      <c r="D36" s="2"/>
      <c r="E36" s="2"/>
      <c r="F36" s="2"/>
      <c r="G36" s="2"/>
      <c r="H36" s="3"/>
      <c r="I36" s="2"/>
      <c r="J36" s="2"/>
      <c r="K36" s="2"/>
      <c r="L36" s="2"/>
    </row>
    <row r="37" spans="1:12" ht="32.1" customHeight="1" x14ac:dyDescent="0.2">
      <c r="A37" s="2"/>
      <c r="B37" s="2"/>
      <c r="C37" s="2"/>
      <c r="D37" s="2"/>
      <c r="E37" s="2"/>
      <c r="F37" s="2"/>
      <c r="G37" s="2"/>
      <c r="H37" s="3"/>
      <c r="I37" s="2"/>
      <c r="J37" s="2"/>
      <c r="K37" s="2"/>
      <c r="L37" s="2"/>
    </row>
    <row r="38" spans="1:12" ht="32.1" customHeight="1" x14ac:dyDescent="0.2">
      <c r="A38" s="2"/>
      <c r="B38" s="2"/>
      <c r="C38" s="2"/>
      <c r="D38" s="2"/>
      <c r="E38" s="2"/>
      <c r="F38" s="2"/>
      <c r="G38" s="2"/>
      <c r="H38" s="3"/>
      <c r="I38" s="2"/>
      <c r="J38" s="2"/>
      <c r="K38" s="2"/>
      <c r="L38" s="2"/>
    </row>
    <row r="39" spans="1:12" ht="32.1" customHeight="1" x14ac:dyDescent="0.2">
      <c r="A39" s="2"/>
      <c r="B39" s="2"/>
      <c r="C39" s="2"/>
      <c r="D39" s="2"/>
      <c r="E39" s="2"/>
      <c r="F39" s="2"/>
      <c r="G39" s="2"/>
      <c r="H39" s="3"/>
      <c r="I39" s="2"/>
      <c r="J39" s="2"/>
      <c r="K39" s="2"/>
      <c r="L39" s="2"/>
    </row>
    <row r="40" spans="1:12" ht="32.1" customHeight="1" x14ac:dyDescent="0.2">
      <c r="A40" s="2"/>
      <c r="B40" s="2"/>
      <c r="C40" s="2"/>
      <c r="D40" s="2"/>
      <c r="E40" s="2"/>
      <c r="F40" s="2"/>
      <c r="G40" s="2"/>
      <c r="H40" s="3"/>
      <c r="I40" s="2"/>
      <c r="J40" s="2"/>
      <c r="K40" s="2"/>
      <c r="L40" s="2"/>
    </row>
    <row r="41" spans="1:12" ht="32.1" customHeight="1" x14ac:dyDescent="0.2">
      <c r="A41" s="2"/>
      <c r="B41" s="2"/>
      <c r="C41" s="2"/>
      <c r="D41" s="2"/>
      <c r="E41" s="2"/>
      <c r="F41" s="2"/>
      <c r="G41" s="2"/>
      <c r="H41" s="3"/>
      <c r="I41" s="2"/>
      <c r="J41" s="2"/>
      <c r="K41" s="2"/>
      <c r="L41" s="2"/>
    </row>
    <row r="42" spans="1:12" ht="32.1" customHeight="1" x14ac:dyDescent="0.2">
      <c r="A42" s="2"/>
      <c r="B42" s="2"/>
      <c r="C42" s="2"/>
      <c r="D42" s="2"/>
      <c r="E42" s="2"/>
      <c r="F42" s="2"/>
      <c r="G42" s="2"/>
      <c r="H42" s="3"/>
      <c r="I42" s="2"/>
      <c r="J42" s="2"/>
      <c r="K42" s="2"/>
      <c r="L42" s="2"/>
    </row>
    <row r="43" spans="1:12" ht="32.1" customHeight="1" x14ac:dyDescent="0.2">
      <c r="A43" s="2"/>
      <c r="B43" s="2"/>
      <c r="C43" s="2"/>
      <c r="D43" s="2"/>
      <c r="E43" s="2"/>
      <c r="F43" s="2"/>
      <c r="G43" s="2"/>
      <c r="H43" s="2"/>
      <c r="I43" s="2"/>
      <c r="J43" s="2"/>
      <c r="K43" s="2"/>
      <c r="L43" s="2"/>
    </row>
    <row r="44" spans="1:12" ht="32.1" customHeight="1" x14ac:dyDescent="0.2">
      <c r="A44" s="2"/>
      <c r="B44" s="2"/>
      <c r="C44" s="2"/>
      <c r="D44" s="2"/>
      <c r="E44" s="2"/>
      <c r="F44" s="2"/>
      <c r="G44" s="2"/>
      <c r="H44" s="3"/>
      <c r="I44" s="2"/>
      <c r="J44" s="2"/>
      <c r="K44" s="2"/>
      <c r="L44" s="2"/>
    </row>
    <row r="45" spans="1:12" ht="32.1" customHeight="1" x14ac:dyDescent="0.2">
      <c r="A45" s="2"/>
      <c r="B45" s="2"/>
      <c r="C45" s="2"/>
      <c r="D45" s="2"/>
      <c r="E45" s="2"/>
      <c r="F45" s="2"/>
      <c r="G45" s="2"/>
      <c r="H45" s="2"/>
      <c r="I45" s="2"/>
      <c r="J45" s="2"/>
      <c r="K45" s="2"/>
      <c r="L45" s="2"/>
    </row>
    <row r="46" spans="1:12" ht="32.1" customHeight="1" x14ac:dyDescent="0.2">
      <c r="A46" s="2"/>
      <c r="B46" s="2"/>
      <c r="C46" s="2"/>
      <c r="D46" s="2"/>
      <c r="E46" s="2"/>
      <c r="F46" s="2"/>
      <c r="G46" s="2"/>
      <c r="H46" s="3"/>
      <c r="I46" s="2"/>
      <c r="J46" s="2"/>
      <c r="K46" s="2"/>
      <c r="L46" s="2"/>
    </row>
    <row r="47" spans="1:12" ht="32.1" customHeight="1" x14ac:dyDescent="0.2">
      <c r="A47" s="2"/>
      <c r="B47" s="2"/>
      <c r="C47" s="2"/>
      <c r="D47" s="2"/>
      <c r="E47" s="2"/>
      <c r="F47" s="2"/>
      <c r="G47" s="2"/>
      <c r="H47" s="3"/>
      <c r="I47" s="2"/>
      <c r="J47" s="2"/>
      <c r="K47" s="2"/>
      <c r="L47" s="2"/>
    </row>
    <row r="48" spans="1:12" ht="32.1" customHeight="1" x14ac:dyDescent="0.2">
      <c r="A48" s="2"/>
      <c r="B48" s="2"/>
      <c r="C48" s="2"/>
      <c r="D48" s="2"/>
      <c r="E48" s="2"/>
      <c r="F48" s="2"/>
      <c r="G48" s="2"/>
      <c r="H48" s="3"/>
      <c r="I48" s="2"/>
      <c r="J48" s="2"/>
      <c r="K48" s="2"/>
      <c r="L48" s="2"/>
    </row>
    <row r="49" spans="1:12" ht="32.1" customHeight="1" x14ac:dyDescent="0.2">
      <c r="A49" s="2"/>
      <c r="B49" s="2"/>
      <c r="C49" s="2"/>
      <c r="D49" s="2"/>
      <c r="E49" s="2"/>
      <c r="F49" s="2"/>
      <c r="G49" s="2"/>
      <c r="H49" s="3"/>
      <c r="I49" s="2"/>
      <c r="J49" s="2"/>
      <c r="K49" s="2"/>
      <c r="L49" s="2"/>
    </row>
    <row r="50" spans="1:12" ht="32.1" customHeight="1" x14ac:dyDescent="0.2">
      <c r="A50" s="2"/>
      <c r="B50" s="2"/>
      <c r="C50" s="2"/>
      <c r="D50" s="2"/>
      <c r="E50" s="2"/>
      <c r="F50" s="2"/>
      <c r="G50" s="2"/>
      <c r="H50" s="3"/>
      <c r="I50" s="2"/>
      <c r="J50" s="2"/>
      <c r="K50" s="2"/>
      <c r="L50" s="2"/>
    </row>
    <row r="51" spans="1:12" ht="32.1" customHeight="1" x14ac:dyDescent="0.2">
      <c r="A51" s="2"/>
      <c r="B51" s="2"/>
      <c r="C51" s="2"/>
      <c r="D51" s="2"/>
      <c r="E51" s="2"/>
      <c r="F51" s="2"/>
      <c r="G51" s="2"/>
      <c r="H51" s="3"/>
      <c r="I51" s="2"/>
      <c r="J51" s="2"/>
      <c r="K51" s="2"/>
      <c r="L51" s="2"/>
    </row>
    <row r="52" spans="1:12" ht="32.1" customHeight="1" x14ac:dyDescent="0.2">
      <c r="A52" s="2"/>
      <c r="B52" s="2"/>
      <c r="C52" s="2"/>
      <c r="D52" s="2"/>
      <c r="E52" s="2"/>
      <c r="F52" s="2"/>
      <c r="G52" s="2"/>
      <c r="H52" s="3"/>
      <c r="I52" s="2"/>
      <c r="J52" s="2"/>
      <c r="K52" s="2"/>
      <c r="L52" s="2"/>
    </row>
    <row r="53" spans="1:12" ht="32.1" customHeight="1" x14ac:dyDescent="0.2">
      <c r="A53" s="2"/>
      <c r="B53" s="2"/>
      <c r="C53" s="2"/>
      <c r="D53" s="2"/>
      <c r="E53" s="2"/>
      <c r="F53" s="2"/>
      <c r="G53" s="2"/>
      <c r="H53" s="3"/>
      <c r="I53" s="2"/>
      <c r="J53" s="2"/>
      <c r="K53" s="2"/>
      <c r="L53" s="2"/>
    </row>
    <row r="54" spans="1:12" ht="32.1" customHeight="1" x14ac:dyDescent="0.2">
      <c r="A54" s="2"/>
      <c r="B54" s="2"/>
      <c r="C54" s="2"/>
      <c r="D54" s="2"/>
      <c r="E54" s="2"/>
      <c r="F54" s="2"/>
      <c r="G54" s="2"/>
      <c r="H54" s="2"/>
      <c r="I54" s="2"/>
      <c r="J54" s="2"/>
      <c r="K54" s="2"/>
      <c r="L54" s="2"/>
    </row>
    <row r="55" spans="1:12" ht="32.1" customHeight="1" x14ac:dyDescent="0.2">
      <c r="A55" s="2"/>
      <c r="B55" s="2"/>
      <c r="C55" s="2"/>
      <c r="D55" s="2"/>
      <c r="E55" s="2"/>
      <c r="F55" s="2"/>
      <c r="G55" s="2"/>
      <c r="H55" s="3"/>
      <c r="I55" s="2"/>
      <c r="J55" s="2"/>
      <c r="K55" s="2"/>
      <c r="L55" s="2"/>
    </row>
    <row r="56" spans="1:12" ht="32.1" customHeight="1" x14ac:dyDescent="0.2">
      <c r="A56" s="2"/>
      <c r="B56" s="2"/>
      <c r="C56" s="2"/>
      <c r="D56" s="2"/>
      <c r="E56" s="2"/>
      <c r="F56" s="2"/>
      <c r="G56" s="2"/>
      <c r="H56" s="3"/>
      <c r="I56" s="2"/>
      <c r="J56" s="2"/>
      <c r="K56" s="2"/>
      <c r="L56" s="2"/>
    </row>
    <row r="57" spans="1:12" ht="32.1" customHeight="1" x14ac:dyDescent="0.2">
      <c r="A57" s="2"/>
      <c r="B57" s="2"/>
      <c r="C57" s="2"/>
      <c r="D57" s="2"/>
      <c r="E57" s="2"/>
      <c r="F57" s="2"/>
      <c r="G57" s="2"/>
      <c r="H57" s="3"/>
      <c r="I57" s="2"/>
      <c r="J57" s="2"/>
      <c r="K57" s="2"/>
      <c r="L57" s="2"/>
    </row>
    <row r="58" spans="1:12" ht="32.1" customHeight="1" x14ac:dyDescent="0.2">
      <c r="A58" s="2"/>
      <c r="B58" s="2"/>
      <c r="C58" s="2"/>
      <c r="D58" s="2"/>
      <c r="E58" s="2"/>
      <c r="F58" s="2"/>
      <c r="G58" s="2"/>
      <c r="H58" s="3"/>
      <c r="I58" s="2"/>
      <c r="J58" s="2"/>
      <c r="K58" s="2"/>
      <c r="L58" s="2"/>
    </row>
    <row r="59" spans="1:12" ht="32.1" customHeight="1" x14ac:dyDescent="0.2">
      <c r="A59" s="2"/>
      <c r="B59" s="2"/>
      <c r="C59" s="2"/>
      <c r="D59" s="2"/>
      <c r="E59" s="2"/>
      <c r="F59" s="2"/>
      <c r="G59" s="2"/>
      <c r="H59" s="3"/>
      <c r="I59" s="2"/>
      <c r="J59" s="2"/>
      <c r="K59" s="2"/>
      <c r="L59" s="2"/>
    </row>
    <row r="60" spans="1:12" ht="32.1" customHeight="1" x14ac:dyDescent="0.2">
      <c r="A60" s="2"/>
      <c r="B60" s="2"/>
      <c r="C60" s="2"/>
      <c r="D60" s="2"/>
      <c r="E60" s="2"/>
      <c r="F60" s="2"/>
      <c r="G60" s="2"/>
      <c r="H60" s="3"/>
      <c r="I60" s="2"/>
      <c r="J60" s="2"/>
      <c r="K60" s="2"/>
      <c r="L60" s="2"/>
    </row>
    <row r="61" spans="1:12" ht="32.1" customHeight="1" x14ac:dyDescent="0.2">
      <c r="A61" s="2"/>
      <c r="B61" s="2"/>
      <c r="C61" s="2"/>
      <c r="D61" s="2"/>
      <c r="E61" s="2"/>
      <c r="F61" s="2"/>
      <c r="G61" s="2"/>
      <c r="H61" s="3"/>
      <c r="I61" s="2"/>
      <c r="J61" s="2"/>
      <c r="K61" s="2"/>
      <c r="L61" s="2"/>
    </row>
    <row r="62" spans="1:12" ht="32.1" customHeight="1" x14ac:dyDescent="0.2">
      <c r="A62" s="2"/>
      <c r="B62" s="2"/>
      <c r="C62" s="2"/>
      <c r="D62" s="2"/>
      <c r="E62" s="2"/>
      <c r="F62" s="2"/>
      <c r="G62" s="2"/>
      <c r="H62" s="3"/>
      <c r="I62" s="2"/>
      <c r="J62" s="2"/>
      <c r="K62" s="2"/>
      <c r="L62" s="2"/>
    </row>
    <row r="63" spans="1:12" ht="32.1" customHeight="1" x14ac:dyDescent="0.2">
      <c r="A63" s="2"/>
      <c r="B63" s="2"/>
      <c r="C63" s="2"/>
      <c r="D63" s="2"/>
      <c r="E63" s="2"/>
      <c r="F63" s="2"/>
      <c r="G63" s="2"/>
      <c r="H63" s="3"/>
      <c r="I63" s="2"/>
      <c r="J63" s="2"/>
      <c r="K63" s="2"/>
      <c r="L63" s="2"/>
    </row>
    <row r="64" spans="1:12" ht="32.1" customHeight="1" x14ac:dyDescent="0.2">
      <c r="A64" s="2"/>
      <c r="B64" s="2"/>
      <c r="C64" s="2"/>
      <c r="D64" s="2"/>
      <c r="E64" s="2"/>
      <c r="F64" s="2"/>
      <c r="G64" s="2"/>
      <c r="H64" s="3"/>
      <c r="I64" s="2"/>
      <c r="J64" s="2"/>
      <c r="K64" s="2"/>
      <c r="L64" s="2"/>
    </row>
    <row r="65" spans="1:12" ht="32.1" customHeight="1" x14ac:dyDescent="0.2">
      <c r="A65" s="2"/>
      <c r="B65" s="2"/>
      <c r="C65" s="2"/>
      <c r="D65" s="2"/>
      <c r="E65" s="3"/>
      <c r="F65" s="2"/>
      <c r="G65" s="2"/>
      <c r="H65" s="3"/>
      <c r="I65" s="2"/>
      <c r="J65" s="2"/>
      <c r="K65" s="2"/>
      <c r="L65" s="2"/>
    </row>
    <row r="66" spans="1:12" ht="32.1" customHeight="1" x14ac:dyDescent="0.2">
      <c r="A66" s="2"/>
      <c r="B66" s="2"/>
      <c r="C66" s="2"/>
      <c r="D66" s="2"/>
      <c r="E66" s="2"/>
      <c r="F66" s="2"/>
      <c r="G66" s="2"/>
      <c r="H66" s="2"/>
      <c r="I66" s="2"/>
      <c r="J66" s="2"/>
      <c r="K66" s="2"/>
      <c r="L66" s="2"/>
    </row>
    <row r="67" spans="1:12" ht="32.1" customHeight="1" x14ac:dyDescent="0.2">
      <c r="A67" s="2"/>
      <c r="B67" s="2"/>
      <c r="C67" s="2"/>
      <c r="D67" s="2"/>
      <c r="E67" s="2"/>
      <c r="F67" s="2"/>
      <c r="G67" s="2"/>
      <c r="H67" s="3"/>
      <c r="I67" s="2"/>
      <c r="J67" s="2"/>
      <c r="K67" s="2"/>
      <c r="L67" s="2"/>
    </row>
    <row r="68" spans="1:12" ht="32.1" customHeight="1" x14ac:dyDescent="0.2">
      <c r="A68" s="2"/>
      <c r="B68" s="2"/>
      <c r="C68" s="2"/>
      <c r="D68" s="2"/>
      <c r="E68" s="2"/>
      <c r="F68" s="2"/>
      <c r="G68" s="2"/>
      <c r="H68" s="3"/>
      <c r="I68" s="2"/>
      <c r="J68" s="2"/>
      <c r="K68" s="2"/>
      <c r="L68" s="2"/>
    </row>
    <row r="69" spans="1:12" ht="32.1" customHeight="1" x14ac:dyDescent="0.2">
      <c r="A69" s="2"/>
      <c r="B69" s="2"/>
      <c r="C69" s="2"/>
      <c r="D69" s="2"/>
      <c r="E69" s="2"/>
      <c r="F69" s="2"/>
      <c r="G69" s="2"/>
      <c r="H69" s="3"/>
      <c r="I69" s="2"/>
      <c r="J69" s="2"/>
      <c r="K69" s="2"/>
      <c r="L69" s="2"/>
    </row>
    <row r="70" spans="1:12" ht="32.1" customHeight="1" x14ac:dyDescent="0.2">
      <c r="A70" s="2"/>
      <c r="B70" s="2"/>
      <c r="C70" s="2"/>
      <c r="D70" s="2"/>
      <c r="E70" s="2"/>
      <c r="F70" s="2"/>
      <c r="G70" s="2"/>
      <c r="H70" s="2"/>
      <c r="I70" s="2"/>
      <c r="J70" s="2"/>
      <c r="K70" s="2"/>
      <c r="L70" s="2"/>
    </row>
    <row r="71" spans="1:12" ht="32.1" customHeight="1" x14ac:dyDescent="0.2">
      <c r="A71" s="2"/>
      <c r="B71" s="2"/>
      <c r="C71" s="2"/>
      <c r="D71" s="2"/>
      <c r="E71" s="2"/>
      <c r="F71" s="2"/>
      <c r="G71" s="2"/>
      <c r="H71" s="2"/>
      <c r="I71" s="2"/>
      <c r="J71" s="2"/>
      <c r="K71" s="2"/>
      <c r="L71" s="2"/>
    </row>
    <row r="72" spans="1:12" ht="32.1" customHeight="1" x14ac:dyDescent="0.2">
      <c r="A72" s="2"/>
      <c r="B72" s="2"/>
      <c r="C72" s="2"/>
      <c r="D72" s="2"/>
      <c r="E72" s="2"/>
      <c r="F72" s="2"/>
      <c r="G72" s="2"/>
      <c r="H72" s="3"/>
      <c r="I72" s="2"/>
      <c r="J72" s="2"/>
      <c r="K72" s="2"/>
      <c r="L72" s="2"/>
    </row>
    <row r="73" spans="1:12" ht="32.1" customHeight="1" x14ac:dyDescent="0.2">
      <c r="A73" s="2"/>
      <c r="B73" s="2"/>
      <c r="C73" s="2"/>
      <c r="D73" s="2"/>
      <c r="E73" s="2"/>
      <c r="F73" s="2"/>
      <c r="G73" s="2"/>
      <c r="H73" s="2"/>
      <c r="I73" s="2"/>
      <c r="J73" s="2"/>
      <c r="K73" s="2"/>
      <c r="L73" s="2"/>
    </row>
    <row r="74" spans="1:12" ht="32.1" customHeight="1" x14ac:dyDescent="0.2">
      <c r="A74" s="2"/>
      <c r="B74" s="2"/>
      <c r="C74" s="2"/>
      <c r="D74" s="2"/>
      <c r="E74" s="2"/>
      <c r="F74" s="2"/>
      <c r="G74" s="2"/>
      <c r="H74" s="3"/>
      <c r="I74" s="2"/>
      <c r="J74" s="2"/>
      <c r="K74" s="2"/>
      <c r="L74" s="2"/>
    </row>
    <row r="75" spans="1:12" ht="32.1" customHeight="1" x14ac:dyDescent="0.2">
      <c r="A75" s="2"/>
      <c r="B75" s="2"/>
      <c r="C75" s="2"/>
      <c r="D75" s="2"/>
      <c r="E75" s="2"/>
      <c r="F75" s="2"/>
      <c r="G75" s="2"/>
      <c r="H75" s="2"/>
      <c r="I75" s="2"/>
      <c r="J75" s="2"/>
      <c r="K75" s="2"/>
      <c r="L75" s="2"/>
    </row>
    <row r="76" spans="1:12" ht="32.1" customHeight="1" x14ac:dyDescent="0.2">
      <c r="A76" s="2"/>
      <c r="B76" s="2"/>
      <c r="C76" s="2"/>
      <c r="D76" s="2"/>
      <c r="E76" s="3"/>
      <c r="F76" s="2"/>
      <c r="G76" s="2"/>
      <c r="H76" s="2"/>
      <c r="I76" s="2"/>
      <c r="J76" s="2"/>
      <c r="K76" s="2"/>
      <c r="L76" s="2"/>
    </row>
    <row r="77" spans="1:12" ht="32.1" customHeight="1" x14ac:dyDescent="0.2">
      <c r="A77" s="2"/>
      <c r="B77" s="2"/>
      <c r="C77" s="2"/>
      <c r="D77" s="2"/>
      <c r="E77" s="2"/>
      <c r="F77" s="2"/>
      <c r="G77" s="2"/>
      <c r="H77" s="3"/>
      <c r="I77" s="2"/>
      <c r="J77" s="2"/>
      <c r="K77" s="2"/>
      <c r="L77" s="2"/>
    </row>
    <row r="78" spans="1:12" ht="32.1" customHeight="1" x14ac:dyDescent="0.2">
      <c r="A78" s="2"/>
      <c r="B78" s="2"/>
      <c r="C78" s="2"/>
      <c r="D78" s="2"/>
      <c r="E78" s="2"/>
      <c r="F78" s="2"/>
      <c r="G78" s="2"/>
      <c r="H78" s="3"/>
      <c r="I78" s="2"/>
      <c r="J78" s="2"/>
      <c r="K78" s="2"/>
      <c r="L78" s="2"/>
    </row>
    <row r="79" spans="1:12" ht="32.1" customHeight="1" x14ac:dyDescent="0.2">
      <c r="A79" s="2"/>
      <c r="B79" s="2"/>
      <c r="C79" s="2"/>
      <c r="D79" s="2"/>
      <c r="E79" s="2"/>
      <c r="F79" s="2"/>
      <c r="G79" s="2"/>
      <c r="H79" s="2"/>
      <c r="I79" s="2"/>
      <c r="J79" s="2"/>
      <c r="K79" s="2"/>
      <c r="L79" s="2"/>
    </row>
    <row r="80" spans="1:12" ht="32.1" customHeight="1" x14ac:dyDescent="0.2">
      <c r="A80" s="2"/>
      <c r="B80" s="2"/>
      <c r="C80" s="2"/>
      <c r="D80" s="2"/>
      <c r="E80" s="2"/>
      <c r="F80" s="2"/>
      <c r="G80" s="2"/>
      <c r="H80" s="3"/>
      <c r="I80" s="2"/>
      <c r="J80" s="2"/>
      <c r="K80" s="2"/>
      <c r="L80" s="2"/>
    </row>
    <row r="81" spans="1:12" ht="32.1" customHeight="1" x14ac:dyDescent="0.2">
      <c r="A81" s="2"/>
      <c r="B81" s="2"/>
      <c r="C81" s="2"/>
      <c r="D81" s="2"/>
      <c r="E81" s="2"/>
      <c r="F81" s="2"/>
      <c r="G81" s="2"/>
      <c r="H81" s="3"/>
      <c r="I81" s="2"/>
      <c r="J81" s="2"/>
      <c r="K81" s="2"/>
      <c r="L81" s="2"/>
    </row>
    <row r="82" spans="1:12" ht="32.1" customHeight="1" x14ac:dyDescent="0.2">
      <c r="A82" s="2"/>
      <c r="B82" s="2"/>
      <c r="C82" s="2"/>
      <c r="D82" s="2"/>
      <c r="E82" s="2"/>
      <c r="F82" s="2"/>
      <c r="G82" s="2"/>
      <c r="H82" s="3"/>
      <c r="I82" s="2"/>
      <c r="J82" s="2"/>
      <c r="K82" s="2"/>
      <c r="L82" s="2"/>
    </row>
    <row r="83" spans="1:12" ht="32.1" customHeight="1" x14ac:dyDescent="0.2">
      <c r="A83" s="2"/>
      <c r="B83" s="2"/>
      <c r="C83" s="2"/>
      <c r="D83" s="2"/>
      <c r="E83" s="2"/>
      <c r="F83" s="2"/>
      <c r="G83" s="2"/>
      <c r="H83" s="3"/>
      <c r="I83" s="2"/>
      <c r="J83" s="2"/>
      <c r="K83" s="2"/>
      <c r="L83" s="2"/>
    </row>
    <row r="84" spans="1:12" ht="32.1" customHeight="1" x14ac:dyDescent="0.2">
      <c r="A84" s="2"/>
      <c r="B84" s="2"/>
      <c r="C84" s="2"/>
      <c r="D84" s="2"/>
      <c r="E84" s="2"/>
      <c r="F84" s="2"/>
      <c r="G84" s="2"/>
      <c r="H84" s="3"/>
      <c r="I84" s="2"/>
      <c r="J84" s="2"/>
      <c r="K84" s="2"/>
      <c r="L84" s="2"/>
    </row>
    <row r="85" spans="1:12" ht="32.1" customHeight="1" x14ac:dyDescent="0.2">
      <c r="A85" s="2"/>
      <c r="B85" s="2"/>
      <c r="C85" s="2"/>
      <c r="D85" s="2"/>
      <c r="E85" s="2"/>
      <c r="F85" s="2"/>
      <c r="G85" s="2"/>
      <c r="H85" s="3"/>
      <c r="I85" s="2"/>
      <c r="J85" s="2"/>
      <c r="K85" s="2"/>
      <c r="L85" s="2"/>
    </row>
    <row r="86" spans="1:12" ht="32.1" customHeight="1" x14ac:dyDescent="0.2">
      <c r="A86" s="2"/>
      <c r="B86" s="2"/>
      <c r="C86" s="2"/>
      <c r="D86" s="2"/>
      <c r="E86" s="2"/>
      <c r="F86" s="2"/>
      <c r="G86" s="2"/>
      <c r="H86" s="3"/>
      <c r="I86" s="2"/>
      <c r="J86" s="2"/>
      <c r="K86" s="2"/>
      <c r="L86" s="2"/>
    </row>
    <row r="87" spans="1:12" ht="32.1" customHeight="1" x14ac:dyDescent="0.2">
      <c r="A87" s="2"/>
      <c r="B87" s="2"/>
      <c r="C87" s="2"/>
      <c r="D87" s="2"/>
      <c r="E87" s="2"/>
      <c r="F87" s="2"/>
      <c r="G87" s="2"/>
      <c r="H87" s="3"/>
      <c r="I87" s="2"/>
      <c r="J87" s="2"/>
      <c r="K87" s="2"/>
      <c r="L87" s="2"/>
    </row>
    <row r="88" spans="1:12" ht="32.1" customHeight="1" x14ac:dyDescent="0.2">
      <c r="A88" s="2"/>
      <c r="B88" s="2"/>
      <c r="C88" s="2"/>
      <c r="D88" s="2"/>
      <c r="E88" s="2"/>
      <c r="F88" s="2"/>
      <c r="G88" s="2"/>
      <c r="H88" s="3"/>
      <c r="I88" s="2"/>
      <c r="J88" s="2"/>
      <c r="K88" s="2"/>
      <c r="L88" s="2"/>
    </row>
    <row r="89" spans="1:12" ht="32.1" customHeight="1" x14ac:dyDescent="0.2">
      <c r="A89" s="2"/>
      <c r="B89" s="2"/>
      <c r="C89" s="2"/>
      <c r="D89" s="2"/>
      <c r="E89" s="3"/>
      <c r="F89" s="2"/>
      <c r="G89" s="2"/>
      <c r="H89" s="2"/>
      <c r="I89" s="2"/>
      <c r="J89" s="2"/>
      <c r="K89" s="2"/>
      <c r="L89" s="2"/>
    </row>
    <row r="90" spans="1:12" ht="32.1" customHeight="1" x14ac:dyDescent="0.2">
      <c r="A90" s="2"/>
      <c r="B90" s="2"/>
      <c r="C90" s="2"/>
      <c r="D90" s="2"/>
      <c r="E90" s="2"/>
      <c r="F90" s="2"/>
      <c r="G90" s="2"/>
      <c r="H90" s="3"/>
      <c r="I90" s="2"/>
      <c r="J90" s="2"/>
      <c r="K90" s="2"/>
      <c r="L90" s="2"/>
    </row>
    <row r="91" spans="1:12" ht="32.1" customHeight="1" x14ac:dyDescent="0.2">
      <c r="A91" s="2"/>
      <c r="B91" s="2"/>
      <c r="C91" s="2"/>
      <c r="D91" s="2"/>
      <c r="E91" s="2"/>
      <c r="F91" s="2"/>
      <c r="G91" s="2"/>
      <c r="H91" s="2"/>
      <c r="I91" s="2"/>
      <c r="J91" s="2"/>
      <c r="K91" s="2"/>
      <c r="L91" s="2"/>
    </row>
    <row r="92" spans="1:12" ht="32.1" customHeight="1" x14ac:dyDescent="0.2">
      <c r="A92" s="2"/>
      <c r="B92" s="2"/>
      <c r="C92" s="2"/>
      <c r="D92" s="2"/>
      <c r="E92" s="2"/>
      <c r="F92" s="2"/>
      <c r="G92" s="2"/>
      <c r="H92" s="3"/>
      <c r="I92" s="2"/>
      <c r="J92" s="2"/>
      <c r="K92" s="2"/>
      <c r="L92" s="2"/>
    </row>
    <row r="93" spans="1:12" ht="32.1" customHeight="1" x14ac:dyDescent="0.2">
      <c r="A93" s="2"/>
      <c r="B93" s="2"/>
      <c r="C93" s="2"/>
      <c r="D93" s="2"/>
      <c r="E93" s="2"/>
      <c r="F93" s="2"/>
      <c r="G93" s="2"/>
      <c r="H93" s="2"/>
      <c r="I93" s="2"/>
      <c r="J93" s="2"/>
      <c r="K93" s="2"/>
      <c r="L93" s="2"/>
    </row>
    <row r="94" spans="1:12" ht="32.1" customHeight="1" x14ac:dyDescent="0.2">
      <c r="A94" s="2"/>
      <c r="B94" s="2"/>
      <c r="C94" s="2"/>
      <c r="D94" s="2"/>
      <c r="E94" s="2"/>
      <c r="F94" s="2"/>
      <c r="G94" s="2"/>
      <c r="H94" s="3"/>
      <c r="I94" s="2"/>
      <c r="J94" s="2"/>
      <c r="K94" s="2"/>
      <c r="L94" s="2"/>
    </row>
    <row r="95" spans="1:12" ht="32.1" customHeight="1" x14ac:dyDescent="0.2">
      <c r="A95" s="2"/>
      <c r="B95" s="2"/>
      <c r="C95" s="2"/>
      <c r="D95" s="2"/>
      <c r="E95" s="2"/>
      <c r="F95" s="2"/>
      <c r="G95" s="2"/>
      <c r="H95" s="2"/>
      <c r="I95" s="2"/>
      <c r="J95" s="2"/>
      <c r="K95" s="2"/>
      <c r="L95" s="2"/>
    </row>
    <row r="96" spans="1:12" ht="32.1" customHeight="1" x14ac:dyDescent="0.2">
      <c r="A96" s="2"/>
      <c r="B96" s="2"/>
      <c r="C96" s="2"/>
      <c r="D96" s="2"/>
      <c r="E96" s="2"/>
      <c r="F96" s="2"/>
      <c r="G96" s="2"/>
      <c r="H96" s="3"/>
      <c r="I96" s="2"/>
      <c r="J96" s="2"/>
      <c r="K96" s="2"/>
      <c r="L96" s="2"/>
    </row>
    <row r="97" spans="1:12" ht="32.1" customHeight="1" x14ac:dyDescent="0.2">
      <c r="A97" s="2"/>
      <c r="B97" s="2"/>
      <c r="C97" s="2"/>
      <c r="D97" s="2"/>
      <c r="E97" s="2"/>
      <c r="F97" s="2"/>
      <c r="G97" s="2"/>
      <c r="H97" s="2"/>
      <c r="I97" s="2"/>
      <c r="J97" s="2"/>
      <c r="K97" s="2"/>
      <c r="L97" s="2"/>
    </row>
    <row r="98" spans="1:12" ht="32.1" customHeight="1" x14ac:dyDescent="0.2">
      <c r="A98" s="2"/>
      <c r="B98" s="2"/>
      <c r="C98" s="2"/>
      <c r="D98" s="2"/>
      <c r="E98" s="2"/>
      <c r="F98" s="2"/>
      <c r="G98" s="2"/>
      <c r="H98" s="3"/>
      <c r="I98" s="2"/>
      <c r="J98" s="2"/>
      <c r="K98" s="2"/>
      <c r="L98" s="2"/>
    </row>
    <row r="99" spans="1:12" ht="32.1" customHeight="1" x14ac:dyDescent="0.2">
      <c r="A99" s="2"/>
      <c r="B99" s="2"/>
      <c r="C99" s="2"/>
      <c r="D99" s="2"/>
      <c r="E99" s="2"/>
      <c r="F99" s="2"/>
      <c r="G99" s="2"/>
      <c r="H99" s="2"/>
      <c r="I99" s="2"/>
      <c r="J99" s="2"/>
      <c r="K99" s="2"/>
      <c r="L99" s="2"/>
    </row>
    <row r="100" spans="1:12" ht="32.1" customHeight="1" x14ac:dyDescent="0.2">
      <c r="A100" s="2"/>
      <c r="B100" s="2"/>
      <c r="C100" s="2"/>
      <c r="D100" s="2"/>
      <c r="E100" s="2"/>
      <c r="F100" s="2"/>
      <c r="G100" s="2"/>
      <c r="H100" s="2"/>
      <c r="I100" s="2"/>
      <c r="J100" s="2"/>
      <c r="K100" s="2"/>
      <c r="L100" s="2"/>
    </row>
    <row r="101" spans="1:12" ht="32.1" customHeight="1" x14ac:dyDescent="0.2">
      <c r="A101" s="2"/>
      <c r="B101" s="2"/>
      <c r="C101" s="2"/>
      <c r="D101" s="2"/>
      <c r="E101" s="2"/>
      <c r="F101" s="2"/>
      <c r="G101" s="2"/>
      <c r="H101" s="2"/>
      <c r="I101" s="2"/>
      <c r="J101" s="2"/>
      <c r="K101" s="2"/>
      <c r="L101" s="2"/>
    </row>
    <row r="102" spans="1:12" ht="32.1" customHeight="1" x14ac:dyDescent="0.2">
      <c r="A102" s="2"/>
      <c r="B102" s="2"/>
      <c r="C102" s="2"/>
      <c r="D102" s="2"/>
      <c r="E102" s="3"/>
      <c r="F102" s="2"/>
      <c r="G102" s="2"/>
      <c r="H102" s="2"/>
      <c r="I102" s="2"/>
      <c r="J102" s="2"/>
      <c r="K102" s="2"/>
      <c r="L102" s="2"/>
    </row>
    <row r="103" spans="1:12" ht="32.1" customHeight="1" x14ac:dyDescent="0.2">
      <c r="A103" s="2"/>
      <c r="B103" s="2"/>
      <c r="C103" s="2"/>
      <c r="D103" s="2"/>
      <c r="E103" s="2"/>
      <c r="F103" s="2"/>
      <c r="G103" s="2"/>
      <c r="H103" s="3"/>
      <c r="I103" s="2"/>
      <c r="J103" s="2"/>
      <c r="K103" s="2"/>
      <c r="L103" s="2"/>
    </row>
    <row r="104" spans="1:12" ht="32.1" customHeight="1" x14ac:dyDescent="0.2">
      <c r="A104" s="2"/>
      <c r="B104" s="2"/>
      <c r="C104" s="2"/>
      <c r="D104" s="2"/>
      <c r="E104" s="3"/>
      <c r="F104" s="2"/>
      <c r="G104" s="2"/>
      <c r="H104" s="3"/>
      <c r="I104" s="2"/>
      <c r="J104" s="2"/>
      <c r="K104" s="2"/>
      <c r="L104" s="2"/>
    </row>
    <row r="105" spans="1:12" ht="32.1" customHeight="1" x14ac:dyDescent="0.2">
      <c r="A105" s="2"/>
      <c r="B105" s="2"/>
      <c r="C105" s="2"/>
      <c r="D105" s="2"/>
      <c r="E105" s="2"/>
      <c r="F105" s="2"/>
      <c r="G105" s="2"/>
      <c r="H105" s="3"/>
      <c r="I105" s="2"/>
      <c r="J105" s="2"/>
      <c r="K105" s="2"/>
      <c r="L105" s="2"/>
    </row>
    <row r="106" spans="1:12" ht="32.1" customHeight="1" x14ac:dyDescent="0.2">
      <c r="A106" s="2"/>
      <c r="B106" s="2"/>
      <c r="C106" s="2"/>
      <c r="D106" s="2"/>
      <c r="E106" s="2"/>
      <c r="F106" s="2"/>
      <c r="G106" s="2"/>
      <c r="H106" s="2"/>
      <c r="I106" s="2"/>
      <c r="J106" s="2"/>
      <c r="K106" s="2"/>
      <c r="L106" s="2"/>
    </row>
    <row r="107" spans="1:12" ht="32.1" customHeight="1" x14ac:dyDescent="0.2">
      <c r="A107" s="2"/>
      <c r="B107" s="2"/>
      <c r="C107" s="2"/>
      <c r="D107" s="2"/>
      <c r="E107" s="2"/>
      <c r="F107" s="2"/>
      <c r="G107" s="2"/>
      <c r="H107" s="3"/>
      <c r="I107" s="2"/>
      <c r="J107" s="2"/>
      <c r="K107" s="2"/>
      <c r="L107" s="2"/>
    </row>
    <row r="108" spans="1:12" ht="32.1" customHeight="1" x14ac:dyDescent="0.2">
      <c r="A108" s="2"/>
      <c r="B108" s="2"/>
      <c r="C108" s="2"/>
      <c r="D108" s="2"/>
      <c r="E108" s="3"/>
      <c r="F108" s="2"/>
      <c r="G108" s="2"/>
      <c r="H108" s="2"/>
      <c r="I108" s="2"/>
      <c r="J108" s="2"/>
      <c r="K108" s="2"/>
      <c r="L108" s="2"/>
    </row>
    <row r="109" spans="1:12" ht="32.1" customHeight="1" x14ac:dyDescent="0.2">
      <c r="A109" s="2"/>
      <c r="B109" s="2"/>
      <c r="C109" s="2"/>
      <c r="D109" s="2"/>
      <c r="E109" s="2"/>
      <c r="F109" s="2"/>
      <c r="G109" s="2"/>
      <c r="H109" s="3"/>
      <c r="I109" s="2"/>
      <c r="J109" s="2"/>
      <c r="K109" s="2"/>
      <c r="L109" s="2"/>
    </row>
    <row r="110" spans="1:12" ht="32.1" customHeight="1" x14ac:dyDescent="0.2">
      <c r="A110" s="2"/>
      <c r="B110" s="2"/>
      <c r="C110" s="2"/>
      <c r="D110" s="2"/>
      <c r="E110" s="2"/>
      <c r="F110" s="2"/>
      <c r="G110" s="2"/>
      <c r="H110" s="2"/>
      <c r="I110" s="2"/>
      <c r="J110" s="2"/>
      <c r="K110" s="2"/>
      <c r="L110" s="2"/>
    </row>
    <row r="111" spans="1:12" ht="32.1" customHeight="1" x14ac:dyDescent="0.2">
      <c r="A111" s="2"/>
      <c r="B111" s="2"/>
      <c r="C111" s="2"/>
      <c r="D111" s="2"/>
      <c r="E111" s="3"/>
      <c r="F111" s="2"/>
      <c r="G111" s="2"/>
      <c r="H111" s="2"/>
      <c r="I111" s="2"/>
      <c r="J111" s="2"/>
      <c r="K111" s="2"/>
      <c r="L111" s="2"/>
    </row>
    <row r="112" spans="1:12" ht="32.1" customHeight="1" x14ac:dyDescent="0.2">
      <c r="A112" s="2"/>
      <c r="B112" s="2"/>
      <c r="C112" s="2"/>
      <c r="D112" s="2"/>
      <c r="E112" s="2"/>
      <c r="F112" s="2"/>
      <c r="G112" s="2"/>
      <c r="H112" s="3"/>
      <c r="I112" s="2"/>
      <c r="J112" s="2"/>
      <c r="K112" s="2"/>
      <c r="L112" s="2"/>
    </row>
    <row r="113" spans="1:12" ht="32.1" customHeight="1" x14ac:dyDescent="0.2">
      <c r="A113" s="2"/>
      <c r="B113" s="2"/>
      <c r="C113" s="2"/>
      <c r="D113" s="2"/>
      <c r="E113" s="2"/>
      <c r="F113" s="2"/>
      <c r="G113" s="2"/>
      <c r="H113" s="3"/>
      <c r="I113" s="2"/>
      <c r="J113" s="2"/>
      <c r="K113" s="2"/>
      <c r="L113" s="2"/>
    </row>
    <row r="114" spans="1:12" ht="32.1" customHeight="1" x14ac:dyDescent="0.2">
      <c r="A114" s="2"/>
      <c r="B114" s="2"/>
      <c r="C114" s="2"/>
      <c r="D114" s="2"/>
      <c r="E114" s="2"/>
      <c r="F114" s="2"/>
      <c r="G114" s="2"/>
      <c r="H114" s="3"/>
      <c r="I114" s="2"/>
      <c r="J114" s="2"/>
      <c r="K114" s="2"/>
      <c r="L114" s="2"/>
    </row>
    <row r="115" spans="1:12" ht="32.1" customHeight="1" x14ac:dyDescent="0.2">
      <c r="A115" s="2"/>
      <c r="B115" s="2"/>
      <c r="C115" s="2"/>
      <c r="D115" s="2"/>
      <c r="E115" s="2"/>
      <c r="F115" s="2"/>
      <c r="G115" s="2"/>
      <c r="H115" s="3"/>
      <c r="I115" s="2"/>
      <c r="J115" s="2"/>
      <c r="K115" s="2"/>
      <c r="L115" s="2"/>
    </row>
    <row r="116" spans="1:12" ht="32.1" customHeight="1" x14ac:dyDescent="0.2">
      <c r="A116" s="2"/>
      <c r="B116" s="2"/>
      <c r="C116" s="2"/>
      <c r="D116" s="2"/>
      <c r="E116" s="3"/>
      <c r="F116" s="2"/>
      <c r="G116" s="2"/>
      <c r="H116" s="3"/>
      <c r="I116" s="2"/>
      <c r="J116" s="2"/>
      <c r="K116" s="2"/>
      <c r="L116" s="2"/>
    </row>
    <row r="117" spans="1:12" ht="32.1" customHeight="1" x14ac:dyDescent="0.2">
      <c r="A117" s="2"/>
      <c r="B117" s="2"/>
      <c r="C117" s="2"/>
      <c r="D117" s="2"/>
      <c r="E117" s="2"/>
      <c r="F117" s="2"/>
      <c r="G117" s="2"/>
      <c r="H117" s="3"/>
      <c r="I117" s="2"/>
      <c r="J117" s="2"/>
      <c r="K117" s="2"/>
      <c r="L117" s="2"/>
    </row>
    <row r="118" spans="1:12" ht="32.1" customHeight="1" x14ac:dyDescent="0.2">
      <c r="A118" s="2"/>
      <c r="B118" s="2"/>
      <c r="C118" s="2"/>
      <c r="D118" s="2"/>
      <c r="E118" s="2"/>
      <c r="F118" s="2"/>
      <c r="G118" s="2"/>
      <c r="H118" s="3"/>
      <c r="I118" s="2"/>
      <c r="J118" s="2"/>
      <c r="K118" s="2"/>
      <c r="L118" s="2"/>
    </row>
    <row r="119" spans="1:12" ht="32.1" customHeight="1" x14ac:dyDescent="0.2">
      <c r="A119" s="2"/>
      <c r="B119" s="2"/>
      <c r="C119" s="2"/>
      <c r="D119" s="2"/>
      <c r="E119" s="2"/>
      <c r="F119" s="2"/>
      <c r="G119" s="2"/>
      <c r="H119" s="3"/>
      <c r="I119" s="2"/>
      <c r="J119" s="2"/>
      <c r="K119" s="2"/>
      <c r="L119" s="2"/>
    </row>
    <row r="120" spans="1:12" ht="32.1" customHeight="1" x14ac:dyDescent="0.2">
      <c r="A120" s="2"/>
      <c r="B120" s="2"/>
      <c r="C120" s="2"/>
      <c r="D120" s="2"/>
      <c r="E120" s="2"/>
      <c r="F120" s="2"/>
      <c r="G120" s="2"/>
      <c r="H120" s="3"/>
      <c r="I120" s="2"/>
      <c r="J120" s="2"/>
      <c r="K120" s="2"/>
      <c r="L120" s="2"/>
    </row>
    <row r="121" spans="1:12" ht="32.1" customHeight="1" x14ac:dyDescent="0.2">
      <c r="A121" s="2"/>
      <c r="B121" s="2"/>
      <c r="C121" s="2"/>
      <c r="D121" s="2"/>
      <c r="E121" s="2"/>
      <c r="F121" s="2"/>
      <c r="G121" s="2"/>
      <c r="H121" s="3"/>
      <c r="I121" s="2"/>
      <c r="J121" s="2"/>
      <c r="K121" s="2"/>
      <c r="L121" s="2"/>
    </row>
    <row r="122" spans="1:12" ht="32.1" customHeight="1" x14ac:dyDescent="0.2">
      <c r="A122" s="2"/>
      <c r="B122" s="2"/>
      <c r="C122" s="2"/>
      <c r="D122" s="2"/>
      <c r="E122" s="3"/>
      <c r="F122" s="2"/>
      <c r="G122" s="2"/>
      <c r="H122" s="2"/>
      <c r="I122" s="2"/>
      <c r="J122" s="2"/>
      <c r="K122" s="2"/>
      <c r="L122" s="2"/>
    </row>
    <row r="123" spans="1:12" ht="32.1" customHeight="1" x14ac:dyDescent="0.2">
      <c r="A123" s="2"/>
      <c r="B123" s="2"/>
      <c r="C123" s="2"/>
      <c r="D123" s="2"/>
      <c r="E123" s="2"/>
      <c r="F123" s="2"/>
      <c r="G123" s="2"/>
      <c r="H123" s="3"/>
      <c r="I123" s="2"/>
      <c r="J123" s="2"/>
      <c r="K123" s="2"/>
      <c r="L123" s="2"/>
    </row>
    <row r="124" spans="1:12" ht="32.1" customHeight="1" x14ac:dyDescent="0.2">
      <c r="A124" s="2"/>
      <c r="B124" s="2"/>
      <c r="C124" s="2"/>
      <c r="D124" s="2"/>
      <c r="E124" s="2"/>
      <c r="F124" s="2"/>
      <c r="G124" s="2"/>
      <c r="H124" s="3"/>
      <c r="I124" s="2"/>
      <c r="J124" s="2"/>
      <c r="K124" s="2"/>
      <c r="L124" s="2"/>
    </row>
    <row r="125" spans="1:12" ht="32.1" customHeight="1" x14ac:dyDescent="0.2">
      <c r="A125" s="2"/>
      <c r="B125" s="2"/>
      <c r="C125" s="2"/>
      <c r="D125" s="2"/>
      <c r="E125" s="2"/>
      <c r="F125" s="2"/>
      <c r="G125" s="2"/>
      <c r="H125" s="3"/>
      <c r="I125" s="2"/>
      <c r="J125" s="2"/>
      <c r="K125" s="2"/>
      <c r="L125" s="2"/>
    </row>
    <row r="126" spans="1:12" ht="32.1" customHeight="1" x14ac:dyDescent="0.2">
      <c r="A126" s="2"/>
      <c r="B126" s="2"/>
      <c r="C126" s="2"/>
      <c r="D126" s="2"/>
      <c r="E126" s="2"/>
      <c r="F126" s="2"/>
      <c r="G126" s="2"/>
      <c r="H126" s="3"/>
      <c r="I126" s="2"/>
      <c r="J126" s="2"/>
      <c r="K126" s="2"/>
      <c r="L126" s="2"/>
    </row>
    <row r="127" spans="1:12" ht="32.1" customHeight="1" x14ac:dyDescent="0.2">
      <c r="A127" s="2"/>
      <c r="B127" s="2"/>
      <c r="C127" s="2"/>
      <c r="D127" s="2"/>
      <c r="E127" s="3"/>
      <c r="F127" s="2"/>
      <c r="G127" s="2"/>
      <c r="H127" s="2"/>
      <c r="I127" s="2"/>
      <c r="J127" s="2"/>
      <c r="K127" s="2"/>
      <c r="L127" s="2"/>
    </row>
    <row r="128" spans="1:12" ht="32.1" customHeight="1" x14ac:dyDescent="0.2">
      <c r="A128" s="2"/>
      <c r="B128" s="2"/>
      <c r="C128" s="2"/>
      <c r="D128" s="2"/>
      <c r="E128" s="2"/>
      <c r="F128" s="2"/>
      <c r="G128" s="2"/>
      <c r="H128" s="3"/>
      <c r="I128" s="2"/>
      <c r="J128" s="2"/>
      <c r="K128" s="2"/>
      <c r="L128" s="2"/>
    </row>
    <row r="129" spans="1:12" ht="32.1" customHeight="1" x14ac:dyDescent="0.2">
      <c r="A129" s="2"/>
      <c r="B129" s="2"/>
      <c r="C129" s="2"/>
      <c r="D129" s="2"/>
      <c r="E129" s="3"/>
      <c r="F129" s="2"/>
      <c r="G129" s="2"/>
      <c r="H129" s="2"/>
      <c r="I129" s="2"/>
      <c r="J129" s="2"/>
      <c r="K129" s="2"/>
      <c r="L129" s="2"/>
    </row>
    <row r="130" spans="1:12" ht="32.1" customHeight="1" x14ac:dyDescent="0.2">
      <c r="A130" s="2"/>
      <c r="B130" s="2"/>
      <c r="C130" s="2"/>
      <c r="D130" s="2"/>
      <c r="E130" s="2"/>
      <c r="F130" s="2"/>
      <c r="G130" s="2"/>
      <c r="H130" s="3"/>
      <c r="I130" s="2"/>
      <c r="J130" s="2"/>
      <c r="K130" s="2"/>
      <c r="L130" s="2"/>
    </row>
    <row r="131" spans="1:12" ht="32.1" customHeight="1" x14ac:dyDescent="0.2">
      <c r="A131" s="2"/>
      <c r="B131" s="2"/>
      <c r="C131" s="2"/>
      <c r="D131" s="2"/>
      <c r="E131" s="2"/>
      <c r="F131" s="2"/>
      <c r="G131" s="2"/>
      <c r="H131" s="3"/>
      <c r="I131" s="2"/>
      <c r="J131" s="2"/>
      <c r="K131" s="2"/>
      <c r="L131" s="2"/>
    </row>
    <row r="132" spans="1:12" ht="32.1" customHeight="1" x14ac:dyDescent="0.2">
      <c r="A132" s="2"/>
      <c r="B132" s="2"/>
      <c r="C132" s="2"/>
      <c r="D132" s="2"/>
      <c r="E132" s="2"/>
      <c r="F132" s="2"/>
      <c r="G132" s="2"/>
      <c r="H132" s="3"/>
      <c r="I132" s="2"/>
      <c r="J132" s="2"/>
      <c r="K132" s="2"/>
      <c r="L132" s="2"/>
    </row>
    <row r="133" spans="1:12" ht="32.1" customHeight="1" x14ac:dyDescent="0.2">
      <c r="A133" s="2"/>
      <c r="B133" s="2"/>
      <c r="C133" s="2"/>
      <c r="D133" s="2"/>
      <c r="E133" s="2"/>
      <c r="F133" s="2"/>
      <c r="G133" s="2"/>
      <c r="H133" s="3"/>
      <c r="I133" s="2"/>
      <c r="J133" s="2"/>
      <c r="K133" s="2"/>
      <c r="L133" s="2"/>
    </row>
    <row r="134" spans="1:12" ht="32.1" customHeight="1" x14ac:dyDescent="0.2">
      <c r="A134" s="2"/>
      <c r="B134" s="2"/>
      <c r="C134" s="2"/>
      <c r="D134" s="2"/>
      <c r="E134" s="2"/>
      <c r="F134" s="2"/>
      <c r="G134" s="2"/>
      <c r="H134" s="3"/>
      <c r="I134" s="2"/>
      <c r="J134" s="2"/>
      <c r="K134" s="2"/>
      <c r="L134" s="2"/>
    </row>
    <row r="135" spans="1:12" ht="32.1" customHeight="1" x14ac:dyDescent="0.2">
      <c r="A135" s="2"/>
      <c r="B135" s="2"/>
      <c r="C135" s="2"/>
      <c r="D135" s="2"/>
      <c r="E135" s="2"/>
      <c r="F135" s="2"/>
      <c r="G135" s="2"/>
      <c r="H135" s="2"/>
      <c r="I135" s="2"/>
      <c r="J135" s="2"/>
      <c r="K135" s="2"/>
      <c r="L135" s="2"/>
    </row>
    <row r="136" spans="1:12" ht="32.1" customHeight="1" x14ac:dyDescent="0.2">
      <c r="A136" s="2"/>
      <c r="B136" s="2"/>
      <c r="C136" s="2"/>
      <c r="D136" s="2"/>
      <c r="E136" s="2"/>
      <c r="F136" s="2"/>
      <c r="G136" s="2"/>
      <c r="H136" s="3"/>
      <c r="I136" s="2"/>
      <c r="J136" s="2"/>
      <c r="K136" s="2"/>
      <c r="L136" s="2"/>
    </row>
    <row r="137" spans="1:12" ht="32.1" customHeight="1" x14ac:dyDescent="0.2">
      <c r="A137" s="2"/>
      <c r="B137" s="2"/>
      <c r="C137" s="2"/>
      <c r="D137" s="2"/>
      <c r="E137" s="2"/>
      <c r="F137" s="2"/>
      <c r="G137" s="2"/>
      <c r="H137" s="3"/>
      <c r="I137" s="2"/>
      <c r="J137" s="2"/>
      <c r="K137" s="2"/>
      <c r="L137" s="2"/>
    </row>
    <row r="138" spans="1:12" ht="32.1" customHeight="1" x14ac:dyDescent="0.2">
      <c r="A138" s="2"/>
      <c r="B138" s="2"/>
      <c r="C138" s="2"/>
      <c r="D138" s="2"/>
      <c r="E138" s="2"/>
      <c r="F138" s="2"/>
      <c r="G138" s="2"/>
      <c r="H138" s="2"/>
      <c r="I138" s="2"/>
      <c r="J138" s="2"/>
      <c r="K138" s="2"/>
      <c r="L138" s="2"/>
    </row>
    <row r="139" spans="1:12" ht="32.1" customHeight="1" x14ac:dyDescent="0.2">
      <c r="A139" s="2"/>
      <c r="B139" s="2"/>
      <c r="C139" s="2"/>
      <c r="D139" s="2"/>
      <c r="E139" s="2"/>
      <c r="F139" s="2"/>
      <c r="G139" s="2"/>
      <c r="H139" s="3"/>
      <c r="I139" s="2"/>
      <c r="J139" s="2"/>
      <c r="K139" s="2"/>
      <c r="L139" s="2"/>
    </row>
    <row r="140" spans="1:12" ht="32.1" customHeight="1" x14ac:dyDescent="0.2">
      <c r="A140" s="2"/>
      <c r="B140" s="2"/>
      <c r="C140" s="2"/>
      <c r="D140" s="2"/>
      <c r="E140" s="2"/>
      <c r="F140" s="2"/>
      <c r="G140" s="2"/>
      <c r="H140" s="3"/>
      <c r="I140" s="2"/>
      <c r="J140" s="2"/>
      <c r="K140" s="2"/>
      <c r="L140" s="2"/>
    </row>
    <row r="141" spans="1:12" ht="32.1" customHeight="1" x14ac:dyDescent="0.2">
      <c r="A141" s="2"/>
      <c r="B141" s="2"/>
      <c r="C141" s="2"/>
      <c r="D141" s="2"/>
      <c r="E141" s="2"/>
      <c r="F141" s="2"/>
      <c r="G141" s="2"/>
      <c r="H141" s="2"/>
      <c r="I141" s="2"/>
      <c r="J141" s="2"/>
      <c r="K141" s="2"/>
      <c r="L141" s="2"/>
    </row>
    <row r="142" spans="1:12" ht="32.1" customHeight="1" x14ac:dyDescent="0.2">
      <c r="A142" s="2"/>
      <c r="B142" s="2"/>
      <c r="C142" s="2"/>
      <c r="D142" s="2"/>
      <c r="E142" s="2"/>
      <c r="F142" s="2"/>
      <c r="G142" s="2"/>
      <c r="H142" s="3"/>
      <c r="I142" s="2"/>
      <c r="J142" s="2"/>
      <c r="K142" s="2"/>
      <c r="L142" s="2"/>
    </row>
    <row r="143" spans="1:12" ht="32.1" customHeight="1" x14ac:dyDescent="0.2">
      <c r="A143" s="2"/>
      <c r="B143" s="2"/>
      <c r="C143" s="2"/>
      <c r="D143" s="2"/>
      <c r="E143" s="2"/>
      <c r="F143" s="2"/>
      <c r="G143" s="2"/>
      <c r="H143" s="3"/>
      <c r="I143" s="2"/>
      <c r="J143" s="2"/>
      <c r="K143" s="2"/>
      <c r="L143" s="2"/>
    </row>
    <row r="144" spans="1:12" ht="32.1" customHeight="1" x14ac:dyDescent="0.2">
      <c r="A144" s="2"/>
      <c r="B144" s="2"/>
      <c r="C144" s="2"/>
      <c r="D144" s="2"/>
      <c r="E144" s="2"/>
      <c r="F144" s="2"/>
      <c r="G144" s="2"/>
      <c r="H144" s="3"/>
      <c r="I144" s="2"/>
      <c r="J144" s="2"/>
      <c r="K144" s="2"/>
      <c r="L144" s="2"/>
    </row>
    <row r="145" spans="1:12" ht="32.1" customHeight="1" x14ac:dyDescent="0.2">
      <c r="A145" s="2"/>
      <c r="B145" s="2"/>
      <c r="C145" s="2"/>
      <c r="D145" s="2"/>
      <c r="E145" s="2"/>
      <c r="F145" s="2"/>
      <c r="G145" s="2"/>
      <c r="H145" s="3"/>
      <c r="I145" s="2"/>
      <c r="J145" s="2"/>
      <c r="K145" s="2"/>
      <c r="L145" s="2"/>
    </row>
    <row r="146" spans="1:12" ht="32.1" customHeight="1" x14ac:dyDescent="0.2">
      <c r="A146" s="2"/>
      <c r="B146" s="2"/>
      <c r="C146" s="2"/>
      <c r="D146" s="2"/>
      <c r="E146" s="2"/>
      <c r="F146" s="2"/>
      <c r="G146" s="2"/>
      <c r="H146" s="3"/>
      <c r="I146" s="2"/>
      <c r="J146" s="2"/>
      <c r="K146" s="2"/>
      <c r="L146" s="2"/>
    </row>
    <row r="147" spans="1:12" ht="32.1" customHeight="1" x14ac:dyDescent="0.2">
      <c r="A147" s="2"/>
      <c r="B147" s="2"/>
      <c r="C147" s="2"/>
      <c r="D147" s="2"/>
      <c r="E147" s="2"/>
      <c r="F147" s="2"/>
      <c r="G147" s="2"/>
      <c r="H147" s="2"/>
      <c r="I147" s="2"/>
      <c r="J147" s="2"/>
      <c r="K147" s="2"/>
      <c r="L147" s="2"/>
    </row>
    <row r="148" spans="1:12" ht="32.1" customHeight="1" x14ac:dyDescent="0.2">
      <c r="A148" s="2"/>
      <c r="B148" s="2"/>
      <c r="C148" s="2"/>
      <c r="D148" s="2"/>
      <c r="E148" s="2"/>
      <c r="F148" s="2"/>
      <c r="G148" s="2"/>
      <c r="H148" s="2"/>
      <c r="I148" s="2"/>
      <c r="J148" s="2"/>
      <c r="K148" s="2"/>
      <c r="L148" s="2"/>
    </row>
    <row r="149" spans="1:12" ht="32.1" customHeight="1" x14ac:dyDescent="0.2">
      <c r="A149" s="2"/>
      <c r="B149" s="2"/>
      <c r="C149" s="2"/>
      <c r="D149" s="2"/>
      <c r="E149" s="2"/>
      <c r="F149" s="2"/>
      <c r="G149" s="2"/>
      <c r="H149" s="2"/>
      <c r="I149" s="2"/>
      <c r="J149" s="2"/>
      <c r="K149" s="2"/>
      <c r="L149" s="2"/>
    </row>
    <row r="150" spans="1:12" ht="32.1" customHeight="1" x14ac:dyDescent="0.2">
      <c r="A150" s="2"/>
      <c r="B150" s="2"/>
      <c r="C150" s="2"/>
      <c r="D150" s="2"/>
      <c r="E150" s="2"/>
      <c r="F150" s="2"/>
      <c r="G150" s="2"/>
      <c r="H150" s="2"/>
      <c r="I150" s="2"/>
      <c r="J150" s="2"/>
      <c r="K150" s="2"/>
      <c r="L150" s="2"/>
    </row>
    <row r="151" spans="1:12" ht="32.1" customHeight="1" x14ac:dyDescent="0.2">
      <c r="A151" s="2"/>
      <c r="B151" s="2"/>
      <c r="C151" s="2"/>
      <c r="D151" s="2"/>
      <c r="E151" s="2"/>
      <c r="F151" s="2"/>
      <c r="G151" s="2"/>
      <c r="H151" s="2"/>
      <c r="I151" s="2"/>
      <c r="J151" s="2"/>
      <c r="K151" s="2"/>
      <c r="L151" s="2"/>
    </row>
    <row r="152" spans="1:12" ht="32.1" customHeight="1" x14ac:dyDescent="0.2">
      <c r="A152" s="2"/>
      <c r="B152" s="2"/>
      <c r="C152" s="2"/>
      <c r="D152" s="2"/>
      <c r="E152" s="2"/>
      <c r="F152" s="2"/>
      <c r="G152" s="2"/>
      <c r="H152" s="2"/>
      <c r="I152" s="2"/>
      <c r="J152" s="2"/>
      <c r="K152" s="2"/>
      <c r="L152" s="2"/>
    </row>
    <row r="153" spans="1:12" ht="32.1" customHeight="1" x14ac:dyDescent="0.2">
      <c r="A153" s="2"/>
      <c r="B153" s="2"/>
      <c r="C153" s="2"/>
      <c r="D153" s="2"/>
      <c r="E153" s="2"/>
      <c r="F153" s="2"/>
      <c r="G153" s="2"/>
      <c r="H153" s="2"/>
      <c r="I153" s="2"/>
      <c r="J153" s="2"/>
      <c r="K153" s="2"/>
      <c r="L153" s="2"/>
    </row>
    <row r="154" spans="1:12" ht="32.1" customHeight="1" x14ac:dyDescent="0.2">
      <c r="A154" s="2"/>
      <c r="B154" s="2"/>
      <c r="C154" s="2"/>
      <c r="D154" s="3"/>
      <c r="E154" s="2"/>
      <c r="F154" s="2"/>
      <c r="G154" s="2"/>
      <c r="H154" s="2"/>
      <c r="I154" s="2"/>
      <c r="J154" s="2"/>
      <c r="K154" s="2"/>
      <c r="L154" s="2"/>
    </row>
    <row r="155" spans="1:12" ht="32.1" customHeight="1" x14ac:dyDescent="0.2">
      <c r="A155" s="2"/>
      <c r="B155" s="2"/>
      <c r="C155" s="2"/>
      <c r="D155" s="2"/>
      <c r="E155" s="2"/>
      <c r="F155" s="2"/>
      <c r="G155" s="2"/>
      <c r="H155" s="3"/>
      <c r="I155" s="2"/>
      <c r="J155" s="2"/>
      <c r="K155" s="2"/>
      <c r="L155" s="2"/>
    </row>
    <row r="156" spans="1:12" ht="32.1" customHeight="1" x14ac:dyDescent="0.2">
      <c r="A156" s="2"/>
      <c r="B156" s="2"/>
      <c r="C156" s="2"/>
      <c r="D156" s="2"/>
      <c r="E156" s="2"/>
      <c r="F156" s="2"/>
      <c r="G156" s="2"/>
      <c r="H156" s="2"/>
      <c r="I156" s="2"/>
      <c r="J156" s="2"/>
      <c r="K156" s="2"/>
      <c r="L156" s="2"/>
    </row>
    <row r="157" spans="1:12" ht="32.1" customHeight="1" x14ac:dyDescent="0.2">
      <c r="A157" s="2"/>
      <c r="B157" s="2"/>
      <c r="C157" s="2"/>
      <c r="D157" s="2"/>
      <c r="E157" s="2"/>
      <c r="F157" s="2"/>
      <c r="G157" s="2"/>
      <c r="H157" s="3"/>
      <c r="I157" s="2"/>
      <c r="J157" s="2"/>
      <c r="K157" s="2"/>
      <c r="L157" s="2"/>
    </row>
    <row r="158" spans="1:12" ht="32.1" customHeight="1" x14ac:dyDescent="0.2">
      <c r="A158" s="2"/>
      <c r="B158" s="2"/>
      <c r="C158" s="2"/>
      <c r="D158" s="2"/>
      <c r="E158" s="2"/>
      <c r="F158" s="2"/>
      <c r="G158" s="2"/>
      <c r="H158" s="2"/>
      <c r="I158" s="2"/>
      <c r="J158" s="2"/>
      <c r="K158" s="2"/>
      <c r="L158" s="2"/>
    </row>
    <row r="159" spans="1:12" ht="32.1" customHeight="1" x14ac:dyDescent="0.2">
      <c r="A159" s="2"/>
      <c r="B159" s="2"/>
      <c r="C159" s="2"/>
      <c r="D159" s="2"/>
      <c r="E159" s="2"/>
      <c r="F159" s="2"/>
      <c r="G159" s="2"/>
      <c r="H159" s="3"/>
      <c r="I159" s="2"/>
      <c r="J159" s="2"/>
      <c r="K159" s="2"/>
      <c r="L159" s="2"/>
    </row>
    <row r="160" spans="1:12" ht="32.1" customHeight="1" x14ac:dyDescent="0.2">
      <c r="A160" s="2"/>
      <c r="B160" s="2"/>
      <c r="C160" s="2"/>
      <c r="D160" s="2"/>
      <c r="E160" s="2"/>
      <c r="F160" s="2"/>
      <c r="G160" s="2"/>
      <c r="H160" s="2"/>
      <c r="I160" s="2"/>
      <c r="J160" s="2"/>
      <c r="K160" s="2"/>
      <c r="L160" s="2"/>
    </row>
    <row r="161" spans="1:12" ht="32.1" customHeight="1" x14ac:dyDescent="0.2">
      <c r="A161" s="2"/>
      <c r="B161" s="2"/>
      <c r="C161" s="2"/>
      <c r="D161" s="2"/>
      <c r="E161" s="2"/>
      <c r="F161" s="2"/>
      <c r="G161" s="2"/>
      <c r="H161" s="3"/>
      <c r="I161" s="2"/>
      <c r="J161" s="2"/>
      <c r="K161" s="2"/>
      <c r="L161" s="2"/>
    </row>
    <row r="162" spans="1:12" ht="32.1" customHeight="1" x14ac:dyDescent="0.2">
      <c r="A162" s="2"/>
      <c r="B162" s="2"/>
      <c r="C162" s="2"/>
      <c r="D162" s="2"/>
      <c r="E162" s="2"/>
      <c r="F162" s="2"/>
      <c r="G162" s="2"/>
      <c r="H162" s="2"/>
      <c r="I162" s="2"/>
      <c r="J162" s="2"/>
      <c r="K162" s="2"/>
      <c r="L16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2</vt:i4>
      </vt:variant>
    </vt:vector>
  </HeadingPairs>
  <TitlesOfParts>
    <vt:vector size="2" baseType="lpstr">
      <vt:lpstr>قائمة المنتجات</vt:lpstr>
      <vt:lpstr>النص المستخرج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ahmad berqdar</cp:lastModifiedBy>
  <cp:lastPrinted>2026-10-26T19:13:50Z</cp:lastPrinted>
  <dcterms:created xsi:type="dcterms:W3CDTF">2026-10-26T18:25:53Z</dcterms:created>
  <dcterms:modified xsi:type="dcterms:W3CDTF">2026-10-26T19:47:49Z</dcterms:modified>
</cp:coreProperties>
</file>